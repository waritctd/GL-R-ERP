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" sheetId="1" state="visible" r:id="rId3"/>
  </sheets>
  <definedNames>
    <definedName function="false" hidden="false" localSheetId="0" name="_xlnm.Print_Area" vbProcedure="false">Update!$A$1:$I$47</definedName>
    <definedName function="false" hidden="false" localSheetId="0" name="Z_992FF402_7B08_4488_BE03_FE9E4AF1EE1D__wvu_Cols" vbProcedure="false">Update!$N:$N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<sst xmlns="http://schemas.openxmlformats.org/spreadsheetml/2006/main" count="46" uniqueCount="45">
  <si>
    <r>
      <rPr>
        <sz val="20"/>
        <rFont val="Angsana New"/>
        <family val="1"/>
      </rPr>
      <t xml:space="preserve">                         </t>
    </r>
    <r>
      <rPr>
        <sz val="22"/>
        <rFont val="Angsana New"/>
        <family val="1"/>
        <charset val="222"/>
      </rPr>
      <t xml:space="preserve"> </t>
    </r>
    <r>
      <rPr>
        <b val="true"/>
        <sz val="22"/>
        <rFont val="Angsana New"/>
        <family val="1"/>
        <charset val="222"/>
      </rPr>
      <t xml:space="preserve">บริษัท จี แอล แอนด์ อาร์ แทปส์  แอนด์ ไทลส์ จำกัด</t>
    </r>
  </si>
  <si>
    <t xml:space="preserve">                         ใบเสนอราคา</t>
  </si>
  <si>
    <r>
      <rPr>
        <sz val="13"/>
        <rFont val="Browallia New"/>
        <family val="2"/>
        <charset val="222"/>
      </rPr>
      <t xml:space="preserve">                      </t>
    </r>
    <r>
      <rPr>
        <sz val="15"/>
        <rFont val="Browallia New"/>
        <family val="2"/>
        <charset val="222"/>
      </rPr>
      <t xml:space="preserve">     201 ซอยสุขุมวิท 63 ถ.สุขุมวิท แขวงคลองตันเหนือ เขตวัฒนา กทม.10110</t>
    </r>
  </si>
  <si>
    <t xml:space="preserve">***</t>
  </si>
  <si>
    <r>
      <rPr>
        <sz val="13"/>
        <rFont val="Browallia New"/>
        <family val="2"/>
        <charset val="1"/>
      </rPr>
      <t xml:space="preserve">                            </t>
    </r>
    <r>
      <rPr>
        <sz val="15"/>
        <rFont val="Browallia New"/>
        <family val="2"/>
        <charset val="222"/>
      </rPr>
      <t xml:space="preserve">โทรศัพท์ 0-2711-5995    e-mail : info@glr.co.th    Line:@glr_tiles</t>
    </r>
  </si>
  <si>
    <t xml:space="preserve">ฝ่าย</t>
  </si>
  <si>
    <t xml:space="preserve">J</t>
  </si>
  <si>
    <t xml:space="preserve">วันที่</t>
  </si>
  <si>
    <t xml:space="preserve">เลขที่อ้างอิง</t>
  </si>
  <si>
    <t xml:space="preserve">QN</t>
  </si>
  <si>
    <t xml:space="preserve">เรียน</t>
  </si>
  <si>
    <t xml:space="preserve">หน่วยงาน</t>
  </si>
  <si>
    <t xml:space="preserve">โทร.     / E-mail :   </t>
  </si>
  <si>
    <t xml:space="preserve">Sales :  T.</t>
  </si>
  <si>
    <t xml:space="preserve">ลำดับ</t>
  </si>
  <si>
    <t xml:space="preserve">จำนวน</t>
  </si>
  <si>
    <t xml:space="preserve">หน่วย</t>
  </si>
  <si>
    <t xml:space="preserve">ราคา</t>
  </si>
  <si>
    <t xml:space="preserve">ส่วนลด</t>
  </si>
  <si>
    <t xml:space="preserve">คงเหลือ</t>
  </si>
  <si>
    <r>
      <rPr>
        <sz val="14"/>
        <rFont val="Browallia New"/>
        <family val="2"/>
        <charset val="1"/>
      </rPr>
      <t xml:space="preserve">เป็นเงิน </t>
    </r>
    <r>
      <rPr>
        <sz val="14"/>
        <rFont val="Browallia New"/>
        <family val="2"/>
        <charset val="222"/>
      </rPr>
      <t xml:space="preserve">(บาท) </t>
    </r>
  </si>
  <si>
    <t xml:space="preserve">Project  : </t>
  </si>
  <si>
    <t xml:space="preserve">Net</t>
  </si>
  <si>
    <t xml:space="preserve">แผ่น</t>
  </si>
  <si>
    <t xml:space="preserve">หมายเหตุ</t>
  </si>
  <si>
    <t xml:space="preserve">1.จำนวนที่เสนอข้างต้นเป็นจำนวนที่ได้รับมาเมื่อวันที่  19/05/2569</t>
  </si>
  <si>
    <t xml:space="preserve"> กรุณาตรวจสอบจำนวนที่ใช้จริงกับผู้ติดตั้งอีกครั้งก่อนสั่งซื้อ</t>
  </si>
  <si>
    <t xml:space="preserve">2.บริษัทฯ ขอรับมัดจำ 50% เมื่อสั่งซื้อสินค้า ส่วนที่เหลือขอรับ</t>
  </si>
  <si>
    <t xml:space="preserve"> ก่อนส่งมอบสินค้าหรือเมื่อส่งมอบสินค้า+B27:B29</t>
  </si>
  <si>
    <t xml:space="preserve">3.ขณะนี้โรงงานผู้ผลิตประเทศอิตาลีมีสินค้าในสต็อก ระยะเวลานำเข้าประมาณ 90 วัน</t>
  </si>
  <si>
    <r>
      <rPr>
        <sz val="14"/>
        <rFont val="Browallia New"/>
        <family val="2"/>
        <charset val="222"/>
      </rPr>
      <t xml:space="preserve">4.</t>
    </r>
    <r>
      <rPr>
        <sz val="14"/>
        <rFont val="Browallia New"/>
        <family val="2"/>
        <charset val="1"/>
      </rPr>
      <t xml:space="preserve">ขนาดของกระเบื้องจริง จะแตกต่างจากขนาดที่ระบุในใบเสนอราคา</t>
    </r>
  </si>
  <si>
    <t xml:space="preserve"> ได้เล็กน้อย ตามมาตรฐาน ISO และ มอก.</t>
  </si>
  <si>
    <t xml:space="preserve">5.สีและลวดลายของกระเบื้อง อาจแตกต่างจากตัวอย่างได้เล็กน้อย </t>
  </si>
  <si>
    <t xml:space="preserve"> เนื่องจากเป็นสินค้าคนละ LOT การผลิต</t>
  </si>
  <si>
    <r>
      <rPr>
        <sz val="14"/>
        <rFont val="Browallia New"/>
        <family val="2"/>
        <charset val="222"/>
      </rPr>
      <t xml:space="preserve">6.</t>
    </r>
    <r>
      <rPr>
        <sz val="14"/>
        <rFont val="Browallia New"/>
        <family val="2"/>
        <charset val="1"/>
      </rPr>
      <t xml:space="preserve">ทางบริษัทฯ ไม่รับเปลี่ยนหรือคืนสินค้า กรุณาตรวจสอบ</t>
    </r>
  </si>
  <si>
    <t xml:space="preserve"> ความถูกต้องก่อนสั่งซื้อหรือลงชื่อรับสินค้า</t>
  </si>
  <si>
    <r>
      <rPr>
        <sz val="14"/>
        <rFont val="Browallia New"/>
        <family val="2"/>
        <charset val="222"/>
      </rPr>
      <t xml:space="preserve">7.</t>
    </r>
    <r>
      <rPr>
        <sz val="14"/>
        <rFont val="Browallia New"/>
        <family val="2"/>
        <charset val="1"/>
      </rPr>
      <t xml:space="preserve">กำหนดยืนยันราคา </t>
    </r>
    <r>
      <rPr>
        <sz val="14"/>
        <rFont val="Browallia New"/>
        <family val="2"/>
        <charset val="222"/>
      </rPr>
      <t xml:space="preserve">: 30 </t>
    </r>
    <r>
      <rPr>
        <sz val="14"/>
        <rFont val="Browallia New"/>
        <family val="2"/>
        <charset val="1"/>
      </rPr>
      <t xml:space="preserve">วัน นับจากวันที่ในใบเสนอราคา</t>
    </r>
  </si>
  <si>
    <t xml:space="preserve">8.เงื่อนไขประกอบใบเสนอราคา ตามเอกสารแนบ</t>
  </si>
  <si>
    <t xml:space="preserve">รวมเป็นเงิน</t>
  </si>
  <si>
    <t xml:space="preserve">ภาษีมูลค่าเพิ่ม</t>
  </si>
  <si>
    <t xml:space="preserve">รวมเป็นเงินทั้งสิ้น</t>
  </si>
  <si>
    <t xml:space="preserve">             ตกลงสั่งซื้อสินค้าตามราคาและเงื่อนไขข้างต้น</t>
  </si>
  <si>
    <r>
      <rPr>
        <sz val="14"/>
        <rFont val="Browallia New"/>
        <family val="2"/>
        <charset val="1"/>
      </rPr>
      <t xml:space="preserve">ผู้พิมพ์</t>
    </r>
    <r>
      <rPr>
        <sz val="14"/>
        <rFont val="Browallia New"/>
        <family val="2"/>
        <charset val="222"/>
      </rPr>
      <t xml:space="preserve">___________________พนักงานขาย____________________ผู้จัดการฝ่ายขาย___________________                ผู้สั่งซื้อ___________________</t>
    </r>
  </si>
  <si>
    <r>
      <rPr>
        <sz val="14"/>
        <rFont val="Browallia New"/>
        <family val="2"/>
        <charset val="1"/>
      </rPr>
      <t xml:space="preserve">    วันที่………</t>
    </r>
    <r>
      <rPr>
        <sz val="14"/>
        <rFont val="Browallia New"/>
        <family val="2"/>
        <charset val="222"/>
      </rPr>
      <t xml:space="preserve">./…………/………         วันที่ ………./…………/……….               วันที่…….…./…………/…….                    วันที่…….…../………../…….</t>
    </r>
  </si>
  <si>
    <t xml:space="preserve">F-SM-002 (03)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</si>
</sst>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&quot; ดดดด bbbb&quot;"/>
    <numFmt numFmtId="166" formatCode="_-* #,##0.00_-;\-* #,##0.00_-;_-* \-??_-;_-@_-"/>
    <numFmt numFmtId="167" formatCode="#,##0"/>
    <numFmt numFmtId="168" formatCode="_-* #,##0_-;\-* #,##0_-;_-* \-??_-;_-@_-"/>
    <numFmt numFmtId="169" formatCode="#,##0.00"/>
    <numFmt numFmtId="170" formatCode="0%"/>
    <numFmt numFmtId="171" formatCode="#,##0.00_ ;\-#,##0.00\ "/>
    <numFmt numFmtId="172" formatCode="General"/>
  </numFmts>
  <fonts count="19">
    <font>
      <sz val="14"/>
      <name val="Cordia New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</font>
    <font>
      <sz val="13"/>
      <name val="Browallia New"/>
      <family val="2"/>
      <charset val="1"/>
    </font>
    <font>
      <sz val="20"/>
      <name val="Angsana New"/>
      <family val="1"/>
    </font>
    <font>
      <sz val="22"/>
      <name val="Angsana New"/>
      <family val="1"/>
      <charset val="222"/>
    </font>
    <font>
      <b val="true"/>
      <sz val="22"/>
      <name val="Angsana New"/>
      <family val="1"/>
      <charset val="222"/>
    </font>
    <font>
      <b val="true"/>
      <sz val="22"/>
      <name val="Angsana New"/>
      <family val="1"/>
    </font>
    <font>
      <b val="true"/>
      <sz val="13"/>
      <name val="Angsana New"/>
      <family val="1"/>
    </font>
    <font>
      <b val="true"/>
      <sz val="22"/>
      <name val="Browallia New"/>
      <family val="2"/>
      <charset val="1"/>
    </font>
    <font>
      <sz val="13"/>
      <name val="Browallia New"/>
      <family val="2"/>
      <charset val="222"/>
    </font>
    <font>
      <sz val="15"/>
      <name val="Browallia New"/>
      <family val="2"/>
      <charset val="222"/>
    </font>
    <font>
      <sz val="14"/>
      <name val="Browallia New"/>
      <family val="2"/>
      <charset val="1"/>
    </font>
    <font>
      <sz val="14"/>
      <name val="Browallia New"/>
      <family val="2"/>
      <charset val="222"/>
    </font>
    <font>
      <sz val="14"/>
      <name val="BrowalliaUPC"/>
      <family val="2"/>
      <charset val="222"/>
    </font>
    <font>
      <sz val="8"/>
      <name val="Tahoma"/>
      <family val="2"/>
    </font>
    <font>
      <u val="single"/>
      <sz val="14"/>
      <name val="Browall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4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bottom" textRotation="90" wrapText="false" indent="0" shrinkToFit="false"/>
      <protection locked="false" hidden="false"/>
    </xf>
    <xf numFmtId="164" fontId="12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0" borderId="7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4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4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6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6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4" fillId="0" borderId="6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3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5" fillId="0" borderId="7" xfId="21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2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2" borderId="7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0" borderId="7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9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4" fillId="0" borderId="1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4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9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0" borderId="1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2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2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14" fillId="2" borderId="0" xfId="15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112680</xdr:colOff>
      <xdr:row>0</xdr:row>
      <xdr:rowOff>64080</xdr:rowOff>
    </xdr:from>
    <xdr:to>
      <xdr:col>1</xdr:col>
      <xdr:colOff>1500840</xdr:colOff>
      <xdr:row>2</xdr:row>
      <xdr:rowOff>164520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12680" y="64080"/>
          <a:ext cx="1929960" cy="75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248040</xdr:colOff>
      <xdr:row>0</xdr:row>
      <xdr:rowOff>126720</xdr:rowOff>
    </xdr:from>
    <xdr:to>
      <xdr:col>6</xdr:col>
      <xdr:colOff>226080</xdr:colOff>
      <xdr:row>2</xdr:row>
      <xdr:rowOff>114480</xdr:rowOff>
    </xdr:to>
    <xdr:pic>
      <xdr:nvPicPr>
        <xdr:cNvPr id="1" name="Picture 25" descr=""/>
        <xdr:cNvPicPr/>
      </xdr:nvPicPr>
      <xdr:blipFill>
        <a:blip r:embed="rId2"/>
        <a:stretch/>
      </xdr:blipFill>
      <xdr:spPr>
        <a:xfrm>
          <a:off x="9288000" y="126720"/>
          <a:ext cx="2145240" cy="645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9140625" defaultRowHeight="11.25" zeroHeight="false" outlineLevelRow="0" outlineLevelCol="0"/>
  <cols>
    <col collapsed="false" customWidth="true" hidden="false" outlineLevel="0" max="1" min="1" style="1" width="4.79"/>
    <col collapsed="false" customWidth="true" hidden="false" outlineLevel="0" max="2" min="2" style="1" width="67.99"/>
    <col collapsed="false" customWidth="true" hidden="false" outlineLevel="0" max="3" min="3" style="2" width="7.19"/>
    <col collapsed="false" customWidth="true" hidden="false" outlineLevel="0" max="4" min="4" style="1" width="6.19"/>
    <col collapsed="false" customWidth="true" hidden="false" outlineLevel="0" max="5" min="5" style="1" width="8.19"/>
    <col collapsed="false" customWidth="true" hidden="false" outlineLevel="0" max="6" min="6" style="1" width="4.79"/>
    <col collapsed="false" customWidth="true" hidden="false" outlineLevel="0" max="7" min="7" style="1" width="4.39"/>
    <col collapsed="false" customWidth="true" hidden="false" outlineLevel="0" max="8" min="8" style="1" width="9.79"/>
    <col collapsed="false" customWidth="true" hidden="false" outlineLevel="0" max="9" min="9" style="1" width="12.19"/>
    <col collapsed="false" customWidth="true" hidden="false" outlineLevel="0" max="10" min="10" style="1" width="4.19"/>
    <col collapsed="false" customWidth="false" hidden="false" outlineLevel="0" max="11" min="11" style="3" width="9.19"/>
    <col collapsed="false" customWidth="true" hidden="false" outlineLevel="0" max="12" min="12" style="1" width="11.79"/>
    <col collapsed="false" customWidth="true" hidden="false" outlineLevel="0" max="13" min="13" style="1" width="5.79"/>
    <col collapsed="false" customWidth="true" hidden="false" outlineLevel="0" max="14" min="14" style="1" width="7.19"/>
    <col collapsed="false" customWidth="false" hidden="false" outlineLevel="0" max="257" min="15" style="1" width="9.19"/>
  </cols>
  <sheetData>
    <row r="1" customFormat="false" ht="31.5" hidden="false" customHeight="true" outlineLevel="0" collapsed="false">
      <c r="B1" s="4" t="s">
        <v>0</v>
      </c>
      <c r="H1" s="5" t="s">
        <v>1</v>
      </c>
      <c r="I1" s="6"/>
      <c r="J1" s="6"/>
      <c r="K1" s="7"/>
    </row>
    <row r="2" customFormat="false" ht="20.25" hidden="false" customHeight="true" outlineLevel="0" collapsed="false">
      <c r="B2" s="8" t="s">
        <v>2</v>
      </c>
      <c r="I2" s="8" t="s">
        <v>3</v>
      </c>
      <c r="J2" s="8"/>
      <c r="K2" s="7"/>
      <c r="L2" s="9"/>
      <c r="M2" s="10"/>
      <c r="O2" s="11"/>
    </row>
    <row r="3" customFormat="false" ht="20.25" hidden="false" customHeight="true" outlineLevel="0" collapsed="false">
      <c r="B3" s="12" t="s">
        <v>4</v>
      </c>
      <c r="H3" s="13" t="s">
        <v>5</v>
      </c>
      <c r="I3" s="14" t="s">
        <v>6</v>
      </c>
      <c r="J3" s="14"/>
      <c r="K3" s="7"/>
      <c r="L3" s="11"/>
      <c r="M3" s="10"/>
      <c r="O3" s="11"/>
    </row>
    <row r="4" customFormat="false" ht="20.25" hidden="false" customHeight="true" outlineLevel="0" collapsed="false">
      <c r="A4" s="15" t="s">
        <v>7</v>
      </c>
      <c r="B4" s="16" t="n">
        <f aca="true">TODAY()</f>
        <v>46213</v>
      </c>
      <c r="C4" s="13"/>
      <c r="D4" s="17"/>
      <c r="E4" s="17"/>
      <c r="F4" s="17"/>
      <c r="G4" s="17"/>
      <c r="H4" s="9" t="s">
        <v>8</v>
      </c>
      <c r="I4" s="18" t="s">
        <v>9</v>
      </c>
      <c r="J4" s="18"/>
      <c r="K4" s="7"/>
      <c r="L4" s="11"/>
      <c r="M4" s="10"/>
      <c r="O4" s="11"/>
    </row>
    <row r="5" customFormat="false" ht="20.25" hidden="false" customHeight="true" outlineLevel="0" collapsed="false">
      <c r="A5" s="11" t="s">
        <v>10</v>
      </c>
      <c r="B5" s="19"/>
      <c r="C5" s="19"/>
      <c r="D5" s="19"/>
      <c r="E5" s="19"/>
      <c r="F5" s="19"/>
      <c r="G5" s="19"/>
      <c r="H5" s="9" t="s">
        <v>11</v>
      </c>
      <c r="I5" s="20"/>
      <c r="J5" s="20"/>
      <c r="K5" s="7"/>
      <c r="L5" s="11"/>
      <c r="M5" s="10"/>
      <c r="O5" s="11"/>
    </row>
    <row r="6" customFormat="false" ht="20.25" hidden="false" customHeight="true" outlineLevel="0" collapsed="false">
      <c r="B6" s="19" t="s">
        <v>12</v>
      </c>
      <c r="C6" s="19"/>
      <c r="D6" s="19"/>
      <c r="E6" s="19"/>
      <c r="F6" s="19"/>
      <c r="G6" s="19"/>
      <c r="H6" s="21" t="s">
        <v>13</v>
      </c>
      <c r="I6" s="18"/>
      <c r="J6" s="18"/>
      <c r="K6" s="7"/>
      <c r="L6" s="11"/>
      <c r="M6" s="10"/>
      <c r="O6" s="11"/>
    </row>
    <row r="7" s="11" customFormat="true" ht="20.25" hidden="false" customHeight="true" outlineLevel="0" collapsed="false">
      <c r="A7" s="22" t="s">
        <v>14</v>
      </c>
      <c r="B7" s="23"/>
      <c r="C7" s="24" t="s">
        <v>15</v>
      </c>
      <c r="D7" s="25" t="s">
        <v>16</v>
      </c>
      <c r="E7" s="26" t="s">
        <v>17</v>
      </c>
      <c r="F7" s="24" t="s">
        <v>18</v>
      </c>
      <c r="G7" s="24"/>
      <c r="H7" s="27" t="s">
        <v>19</v>
      </c>
      <c r="I7" s="24" t="s">
        <v>20</v>
      </c>
      <c r="J7" s="28"/>
      <c r="K7" s="29"/>
      <c r="M7" s="30"/>
    </row>
    <row r="8" s="11" customFormat="true" ht="20.25" hidden="false" customHeight="true" outlineLevel="0" collapsed="false">
      <c r="A8" s="31"/>
      <c r="B8" s="32" t="s">
        <v>21</v>
      </c>
      <c r="C8" s="33"/>
      <c r="D8" s="34"/>
      <c r="E8" s="35"/>
      <c r="F8" s="36"/>
      <c r="G8" s="37"/>
      <c r="H8" s="38" t="str">
        <f aca="false">IF(G8="พิเศษ",K8,IF(E8-E8*F8=0,"",E8-E8*F8))</f>
        <v/>
      </c>
      <c r="I8" s="39" t="str">
        <f aca="false">IF(H8="","",H8*C8)</f>
        <v/>
      </c>
      <c r="J8" s="40"/>
      <c r="K8" s="29"/>
      <c r="M8" s="30"/>
    </row>
    <row r="9" s="11" customFormat="true" ht="20.25" hidden="false" customHeight="true" outlineLevel="0" collapsed="false">
      <c r="A9" s="41"/>
      <c r="B9" s="42"/>
      <c r="C9" s="33"/>
      <c r="D9" s="34"/>
      <c r="E9" s="43"/>
      <c r="F9" s="36"/>
      <c r="G9" s="37"/>
      <c r="H9" s="38" t="str">
        <f aca="false">IF(G9="พิเศษ",K9,IF(E9-E9*F9=0,"",E9-E9*F9))</f>
        <v/>
      </c>
      <c r="I9" s="39" t="str">
        <f aca="false">IF(H9="","",H9*C9)</f>
        <v/>
      </c>
      <c r="J9" s="40"/>
      <c r="K9" s="29"/>
      <c r="M9" s="30"/>
    </row>
    <row r="10" s="17" customFormat="true" ht="23.25" hidden="false" customHeight="true" outlineLevel="0" collapsed="false">
      <c r="A10" s="44" t="n">
        <v>1</v>
      </c>
      <c r="B10" s="45"/>
      <c r="C10" s="33"/>
      <c r="D10" s="46"/>
      <c r="E10" s="43"/>
      <c r="F10" s="36"/>
      <c r="G10" s="37" t="s">
        <v>22</v>
      </c>
      <c r="H10" s="38" t="str">
        <f aca="false">IF(G10="พิเศษ",K10,IF(E10-E10*F10=0,"",E10-E10*F10))</f>
        <v/>
      </c>
      <c r="I10" s="39" t="str">
        <f aca="false">IF(H10="","",H10*C10)</f>
        <v/>
      </c>
      <c r="J10" s="40"/>
      <c r="K10" s="29"/>
      <c r="M10" s="47"/>
    </row>
    <row r="11" s="17" customFormat="true" ht="22.5" hidden="false" customHeight="true" outlineLevel="0" collapsed="false">
      <c r="A11" s="44"/>
      <c r="B11" s="45"/>
      <c r="C11" s="33"/>
      <c r="D11" s="46"/>
      <c r="E11" s="43"/>
      <c r="F11" s="36"/>
      <c r="G11" s="37"/>
      <c r="H11" s="38" t="str">
        <f aca="false">IF(G11="พิเศษ",K11,IF(E11-E11*F11=0,"",E11-E11*F11))</f>
        <v/>
      </c>
      <c r="I11" s="39" t="str">
        <f aca="false">IF(H11="","",H11*C11)</f>
        <v/>
      </c>
      <c r="J11" s="40"/>
      <c r="K11" s="29"/>
      <c r="M11" s="48"/>
    </row>
    <row r="12" s="17" customFormat="true" ht="23.25" hidden="false" customHeight="true" outlineLevel="0" collapsed="false">
      <c r="A12" s="44"/>
      <c r="B12" s="45"/>
      <c r="C12" s="33"/>
      <c r="D12" s="46"/>
      <c r="E12" s="43"/>
      <c r="F12" s="36"/>
      <c r="G12" s="37"/>
      <c r="H12" s="38" t="str">
        <f aca="false">IF(G12="พิเศษ",K12,IF(E12-E12*F12=0,"",E12-E12*F12))</f>
        <v/>
      </c>
      <c r="I12" s="39" t="str">
        <f aca="false">IF(H12="","",H12*C12)</f>
        <v/>
      </c>
      <c r="J12" s="40"/>
      <c r="K12" s="29"/>
      <c r="M12" s="48"/>
    </row>
    <row r="13" s="11" customFormat="true" ht="22.5" hidden="false" customHeight="true" outlineLevel="0" collapsed="false">
      <c r="A13" s="44" t="n">
        <v>2</v>
      </c>
      <c r="B13" s="45"/>
      <c r="C13" s="33"/>
      <c r="D13" s="46" t="s">
        <v>23</v>
      </c>
      <c r="E13" s="43"/>
      <c r="F13" s="36"/>
      <c r="G13" s="37" t="s">
        <v>22</v>
      </c>
      <c r="H13" s="38" t="str">
        <f aca="false">IF(G13="พิเศษ",K13,IF(E13-E13*F13=0,"",E13-E13*F13))</f>
        <v/>
      </c>
      <c r="I13" s="39" t="str">
        <f aca="false">IF(H13="","",H13*C13)</f>
        <v/>
      </c>
      <c r="J13" s="40"/>
      <c r="K13" s="47"/>
      <c r="M13" s="10"/>
    </row>
    <row r="14" s="11" customFormat="true" ht="22.5" hidden="false" customHeight="true" outlineLevel="0" collapsed="false">
      <c r="A14" s="44"/>
      <c r="B14" s="45"/>
      <c r="C14" s="33"/>
      <c r="D14" s="46"/>
      <c r="E14" s="43"/>
      <c r="F14" s="36"/>
      <c r="G14" s="37"/>
      <c r="H14" s="38" t="str">
        <f aca="false">IF(G14="พิเศษ",K14,IF(E14-E14*F14=0,"",E14-E14*F14))</f>
        <v/>
      </c>
      <c r="I14" s="39" t="str">
        <f aca="false">IF(H14="","",H14*C14)</f>
        <v/>
      </c>
      <c r="J14" s="40"/>
      <c r="K14" s="29"/>
    </row>
    <row r="15" s="11" customFormat="true" ht="22.5" hidden="false" customHeight="true" outlineLevel="0" collapsed="false">
      <c r="A15" s="44"/>
      <c r="B15" s="45"/>
      <c r="C15" s="33"/>
      <c r="D15" s="46"/>
      <c r="E15" s="43"/>
      <c r="F15" s="36"/>
      <c r="G15" s="37"/>
      <c r="H15" s="38" t="str">
        <f aca="false">IF(G15="พิเศษ",K15,IF(E15-E15*F15=0,"",E15-E15*F15))</f>
        <v/>
      </c>
      <c r="I15" s="39" t="str">
        <f aca="false">IF(H15="","",H15*C15)</f>
        <v/>
      </c>
      <c r="J15" s="40"/>
      <c r="K15" s="29"/>
    </row>
    <row r="16" s="11" customFormat="true" ht="22.5" hidden="false" customHeight="true" outlineLevel="0" collapsed="false">
      <c r="A16" s="44"/>
      <c r="B16" s="45"/>
      <c r="C16" s="33"/>
      <c r="D16" s="46"/>
      <c r="E16" s="43"/>
      <c r="F16" s="36"/>
      <c r="G16" s="37"/>
      <c r="H16" s="38" t="str">
        <f aca="false">IF(G16="พิเศษ",K16,IF(E16-E16*F16=0,"",E16-E16*F16))</f>
        <v/>
      </c>
      <c r="I16" s="39" t="str">
        <f aca="false">IF(H16="","",H16*C16)</f>
        <v/>
      </c>
      <c r="J16" s="40"/>
      <c r="K16" s="47"/>
    </row>
    <row r="17" s="11" customFormat="true" ht="22.5" hidden="false" customHeight="true" outlineLevel="0" collapsed="false">
      <c r="A17" s="44"/>
      <c r="B17" s="45"/>
      <c r="C17" s="33"/>
      <c r="D17" s="46"/>
      <c r="E17" s="43"/>
      <c r="F17" s="36"/>
      <c r="G17" s="37"/>
      <c r="H17" s="38" t="str">
        <f aca="false">IF(G17="พิเศษ",K17,IF(E17-E17*F17=0,"",E17-E17*F17))</f>
        <v/>
      </c>
      <c r="I17" s="39" t="str">
        <f aca="false">IF(H17="","",H17*C17)</f>
        <v/>
      </c>
      <c r="J17" s="40"/>
      <c r="K17" s="47"/>
    </row>
    <row r="18" s="11" customFormat="true" ht="22.5" hidden="false" customHeight="true" outlineLevel="0" collapsed="false">
      <c r="A18" s="44"/>
      <c r="B18" s="45"/>
      <c r="C18" s="33"/>
      <c r="D18" s="46"/>
      <c r="E18" s="43"/>
      <c r="F18" s="36"/>
      <c r="G18" s="37"/>
      <c r="H18" s="38" t="str">
        <f aca="false">IF(G18="พิเศษ",K18,IF(E18-E18*F18=0,"",E18-E18*F18))</f>
        <v/>
      </c>
      <c r="I18" s="39" t="str">
        <f aca="false">IF(H18="","",H18*C18)</f>
        <v/>
      </c>
      <c r="J18" s="40"/>
      <c r="K18" s="47"/>
    </row>
    <row r="19" s="11" customFormat="true" ht="22.5" hidden="false" customHeight="true" outlineLevel="0" collapsed="false">
      <c r="A19" s="44"/>
      <c r="B19" s="49"/>
      <c r="C19" s="33"/>
      <c r="D19" s="46"/>
      <c r="E19" s="43"/>
      <c r="F19" s="36"/>
      <c r="G19" s="37"/>
      <c r="H19" s="38" t="str">
        <f aca="false">IF(G19="พิเศษ",K19,IF(E19-E19*F19=0,"",E19-E19*F19))</f>
        <v/>
      </c>
      <c r="I19" s="39" t="str">
        <f aca="false">IF(H19="","",H19*C19)</f>
        <v/>
      </c>
      <c r="J19" s="40"/>
      <c r="K19" s="47"/>
    </row>
    <row r="20" s="11" customFormat="true" ht="22.5" hidden="false" customHeight="true" outlineLevel="0" collapsed="false">
      <c r="A20" s="44"/>
      <c r="B20" s="49"/>
      <c r="C20" s="33"/>
      <c r="D20" s="46"/>
      <c r="E20" s="43"/>
      <c r="F20" s="36"/>
      <c r="G20" s="37"/>
      <c r="H20" s="38" t="str">
        <f aca="false">IF(G20="พิเศษ",K20,IF(E20-E20*F20=0,"",E20-E20*F20))</f>
        <v/>
      </c>
      <c r="I20" s="39" t="str">
        <f aca="false">IF(H20="","",H20*C20)</f>
        <v/>
      </c>
      <c r="J20" s="40"/>
      <c r="K20" s="47"/>
    </row>
    <row r="21" s="11" customFormat="true" ht="22.5" hidden="false" customHeight="true" outlineLevel="0" collapsed="false">
      <c r="A21" s="44"/>
      <c r="B21" s="50"/>
      <c r="C21" s="33"/>
      <c r="D21" s="46"/>
      <c r="E21" s="43"/>
      <c r="F21" s="36"/>
      <c r="G21" s="37"/>
      <c r="H21" s="38"/>
      <c r="I21" s="39"/>
      <c r="J21" s="40"/>
      <c r="K21" s="47"/>
    </row>
    <row r="22" s="11" customFormat="true" ht="22.5" hidden="false" customHeight="true" outlineLevel="0" collapsed="false">
      <c r="A22" s="44"/>
      <c r="B22" s="49"/>
      <c r="C22" s="33"/>
      <c r="D22" s="46"/>
      <c r="E22" s="43"/>
      <c r="F22" s="36"/>
      <c r="G22" s="37"/>
      <c r="H22" s="38" t="str">
        <f aca="false">IF(G22="พิเศษ",K22,IF(E22-E22*F22=0,"",E22-E22*F22))</f>
        <v/>
      </c>
      <c r="I22" s="39" t="str">
        <f aca="false">IF(H22="","",H22*C22)</f>
        <v/>
      </c>
      <c r="J22" s="40"/>
      <c r="K22" s="47"/>
    </row>
    <row r="23" s="11" customFormat="true" ht="22.5" hidden="false" customHeight="true" outlineLevel="0" collapsed="false">
      <c r="A23" s="44"/>
      <c r="B23" s="49" t="s">
        <v>24</v>
      </c>
      <c r="C23" s="33"/>
      <c r="D23" s="46"/>
      <c r="E23" s="43"/>
      <c r="F23" s="36"/>
      <c r="G23" s="37"/>
      <c r="H23" s="38" t="str">
        <f aca="false">IF(G23="พิเศษ",K23,IF(E23-E23*F23=0,"",E23-E23*F23))</f>
        <v/>
      </c>
      <c r="I23" s="39" t="str">
        <f aca="false">IF(H23="","",H23*C23)</f>
        <v/>
      </c>
      <c r="J23" s="40"/>
      <c r="K23" s="47"/>
    </row>
    <row r="24" s="11" customFormat="true" ht="22.5" hidden="false" customHeight="true" outlineLevel="0" collapsed="false">
      <c r="A24" s="44"/>
      <c r="B24" s="50" t="s">
        <v>25</v>
      </c>
      <c r="C24" s="33"/>
      <c r="D24" s="46"/>
      <c r="E24" s="43"/>
      <c r="F24" s="36"/>
      <c r="G24" s="37"/>
      <c r="H24" s="38" t="str">
        <f aca="false">IF(G24="พิเศษ",K24,IF(E24-E24*F24=0,"",E24-E24*F24))</f>
        <v/>
      </c>
      <c r="I24" s="39" t="str">
        <f aca="false">IF(H24="","",H24*C24)</f>
        <v/>
      </c>
      <c r="J24" s="40"/>
      <c r="K24" s="47"/>
    </row>
    <row r="25" s="11" customFormat="true" ht="22.5" hidden="false" customHeight="true" outlineLevel="0" collapsed="false">
      <c r="A25" s="44"/>
      <c r="B25" s="50" t="s">
        <v>26</v>
      </c>
      <c r="C25" s="33"/>
      <c r="D25" s="46"/>
      <c r="E25" s="43"/>
      <c r="F25" s="36"/>
      <c r="G25" s="37"/>
      <c r="H25" s="38"/>
      <c r="I25" s="39"/>
      <c r="J25" s="40"/>
      <c r="K25" s="47"/>
    </row>
    <row r="26" s="11" customFormat="true" ht="22.5" hidden="false" customHeight="true" outlineLevel="0" collapsed="false">
      <c r="A26" s="44"/>
      <c r="B26" s="51" t="s">
        <v>27</v>
      </c>
      <c r="C26" s="33"/>
      <c r="D26" s="46"/>
      <c r="E26" s="43"/>
      <c r="F26" s="36"/>
      <c r="G26" s="37"/>
      <c r="H26" s="38"/>
      <c r="I26" s="39"/>
      <c r="J26" s="40"/>
      <c r="K26" s="47"/>
    </row>
    <row r="27" s="11" customFormat="true" ht="22.5" hidden="false" customHeight="true" outlineLevel="0" collapsed="false">
      <c r="A27" s="44"/>
      <c r="B27" s="51" t="s">
        <v>28</v>
      </c>
      <c r="C27" s="33"/>
      <c r="D27" s="46"/>
      <c r="E27" s="43"/>
      <c r="F27" s="36"/>
      <c r="G27" s="37"/>
      <c r="H27" s="38"/>
      <c r="I27" s="39"/>
      <c r="J27" s="40"/>
      <c r="K27" s="47"/>
    </row>
    <row r="28" s="11" customFormat="true" ht="22.5" hidden="false" customHeight="true" outlineLevel="0" collapsed="false">
      <c r="A28" s="44"/>
      <c r="B28" s="52" t="s">
        <v>29</v>
      </c>
      <c r="C28" s="33"/>
      <c r="D28" s="46"/>
      <c r="E28" s="43"/>
      <c r="F28" s="36"/>
      <c r="G28" s="37"/>
      <c r="H28" s="38" t="str">
        <f aca="false">IF(G28="พิเศษ",K28,IF(E28-E28*F28=0,"",E28-E28*F28))</f>
        <v/>
      </c>
      <c r="I28" s="39" t="str">
        <f aca="false">IF(H28="","",H28*C28)</f>
        <v/>
      </c>
      <c r="J28" s="40"/>
      <c r="K28" s="47"/>
    </row>
    <row r="29" s="11" customFormat="true" ht="22.5" hidden="false" customHeight="true" outlineLevel="0" collapsed="false">
      <c r="A29" s="44"/>
      <c r="B29" s="50" t="s">
        <v>30</v>
      </c>
      <c r="C29" s="33"/>
      <c r="D29" s="46"/>
      <c r="E29" s="43"/>
      <c r="F29" s="36"/>
      <c r="G29" s="37"/>
      <c r="H29" s="38"/>
      <c r="I29" s="39"/>
      <c r="J29" s="40"/>
      <c r="K29" s="47"/>
    </row>
    <row r="30" s="11" customFormat="true" ht="22.5" hidden="false" customHeight="true" outlineLevel="0" collapsed="false">
      <c r="A30" s="44"/>
      <c r="B30" s="50" t="s">
        <v>31</v>
      </c>
      <c r="C30" s="33"/>
      <c r="D30" s="46"/>
      <c r="E30" s="43"/>
      <c r="F30" s="36"/>
      <c r="G30" s="37"/>
      <c r="H30" s="38" t="str">
        <f aca="false">IF(G30="พิเศษ",K30,IF(E30-E30*F30=0,"",E30-E30*F30))</f>
        <v/>
      </c>
      <c r="I30" s="39" t="str">
        <f aca="false">IF(H30="","",H30*C30)</f>
        <v/>
      </c>
      <c r="J30" s="40"/>
      <c r="K30" s="47"/>
    </row>
    <row r="31" s="11" customFormat="true" ht="22.5" hidden="false" customHeight="true" outlineLevel="0" collapsed="false">
      <c r="A31" s="44"/>
      <c r="B31" s="50" t="s">
        <v>32</v>
      </c>
      <c r="C31" s="33"/>
      <c r="D31" s="46"/>
      <c r="E31" s="43"/>
      <c r="F31" s="36"/>
      <c r="G31" s="37"/>
      <c r="H31" s="38"/>
      <c r="I31" s="39"/>
      <c r="J31" s="40"/>
      <c r="K31" s="47"/>
    </row>
    <row r="32" s="11" customFormat="true" ht="22.5" hidden="false" customHeight="true" outlineLevel="0" collapsed="false">
      <c r="A32" s="44"/>
      <c r="B32" s="50" t="s">
        <v>33</v>
      </c>
      <c r="C32" s="33"/>
      <c r="D32" s="46"/>
      <c r="E32" s="43"/>
      <c r="F32" s="36"/>
      <c r="G32" s="37"/>
      <c r="H32" s="38"/>
      <c r="I32" s="39"/>
      <c r="J32" s="40"/>
      <c r="K32" s="47"/>
    </row>
    <row r="33" s="11" customFormat="true" ht="22.5" hidden="false" customHeight="true" outlineLevel="0" collapsed="false">
      <c r="A33" s="44"/>
      <c r="B33" s="50" t="s">
        <v>34</v>
      </c>
      <c r="C33" s="33"/>
      <c r="D33" s="46"/>
      <c r="E33" s="43"/>
      <c r="F33" s="36"/>
      <c r="G33" s="37"/>
      <c r="H33" s="38"/>
      <c r="I33" s="39" t="str">
        <f aca="false">IF(H33="","",H33*C33)</f>
        <v/>
      </c>
      <c r="J33" s="40"/>
      <c r="K33" s="47"/>
    </row>
    <row r="34" s="11" customFormat="true" ht="22.5" hidden="false" customHeight="true" outlineLevel="0" collapsed="false">
      <c r="A34" s="44"/>
      <c r="B34" s="50" t="s">
        <v>35</v>
      </c>
      <c r="C34" s="33"/>
      <c r="D34" s="46"/>
      <c r="E34" s="43"/>
      <c r="F34" s="36"/>
      <c r="G34" s="37"/>
      <c r="H34" s="38"/>
      <c r="I34" s="39" t="str">
        <f aca="false">IF(H34="","",H34*C34)</f>
        <v/>
      </c>
      <c r="J34" s="40"/>
      <c r="K34" s="47"/>
    </row>
    <row r="35" s="11" customFormat="true" ht="22.5" hidden="false" customHeight="true" outlineLevel="0" collapsed="false">
      <c r="A35" s="44"/>
      <c r="B35" s="50" t="s">
        <v>36</v>
      </c>
      <c r="C35" s="33"/>
      <c r="D35" s="46"/>
      <c r="E35" s="43"/>
      <c r="F35" s="36"/>
      <c r="G35" s="37"/>
      <c r="H35" s="38" t="str">
        <f aca="false">IF(G35="พิเศษ",K35,IF(E35-E35*F35=0,"",E35-E35*F35))</f>
        <v/>
      </c>
      <c r="I35" s="39" t="str">
        <f aca="false">IF(H35="","",H35*C35)</f>
        <v/>
      </c>
      <c r="J35" s="40"/>
      <c r="K35" s="47"/>
    </row>
    <row r="36" s="11" customFormat="true" ht="22.5" hidden="false" customHeight="true" outlineLevel="0" collapsed="false">
      <c r="A36" s="44"/>
      <c r="B36" s="53" t="s">
        <v>37</v>
      </c>
      <c r="C36" s="33"/>
      <c r="D36" s="46"/>
      <c r="E36" s="43"/>
      <c r="F36" s="36"/>
      <c r="G36" s="37"/>
      <c r="H36" s="38" t="str">
        <f aca="false">IF(G36="พิเศษ",K36,IF(E36-E36*F36=0,"",E36-E36*F36))</f>
        <v/>
      </c>
      <c r="I36" s="39" t="str">
        <f aca="false">IF(H36="","",H36*C36)</f>
        <v/>
      </c>
      <c r="J36" s="40"/>
      <c r="K36" s="47"/>
    </row>
    <row r="37" s="11" customFormat="true" ht="20.25" hidden="false" customHeight="true" outlineLevel="0" collapsed="false">
      <c r="A37" s="54"/>
      <c r="B37" s="55"/>
      <c r="C37" s="56"/>
      <c r="D37" s="57"/>
      <c r="E37" s="58"/>
      <c r="F37" s="59"/>
      <c r="G37" s="60"/>
      <c r="H37" s="61" t="str">
        <f aca="false">IF(G37="พิเศษ",K37,IF(E37-E37*F37=0,"",E37-E37*F37))</f>
        <v/>
      </c>
      <c r="I37" s="61" t="str">
        <f aca="false">IF(H37="","",H37*C37)</f>
        <v/>
      </c>
      <c r="J37" s="40"/>
      <c r="K37" s="29"/>
      <c r="M37" s="62"/>
    </row>
    <row r="38" s="11" customFormat="true" ht="20.25" hidden="false" customHeight="true" outlineLevel="0" collapsed="false">
      <c r="C38" s="13"/>
      <c r="H38" s="63" t="s">
        <v>38</v>
      </c>
      <c r="I38" s="64"/>
      <c r="J38" s="65"/>
      <c r="K38" s="29"/>
      <c r="M38" s="62"/>
    </row>
    <row r="39" s="11" customFormat="true" ht="20.25" hidden="false" customHeight="true" outlineLevel="0" collapsed="false">
      <c r="A39" s="9"/>
      <c r="C39" s="13"/>
      <c r="E39" s="66" t="s">
        <v>39</v>
      </c>
      <c r="F39" s="66"/>
      <c r="G39" s="66"/>
      <c r="H39" s="67" t="n">
        <v>0.07</v>
      </c>
      <c r="I39" s="68" t="n">
        <f aca="false">I38*H39</f>
        <v>0</v>
      </c>
      <c r="J39" s="65"/>
      <c r="K39" s="29"/>
      <c r="M39" s="62"/>
    </row>
    <row r="40" s="17" customFormat="true" ht="20.25" hidden="false" customHeight="true" outlineLevel="0" collapsed="false">
      <c r="A40" s="9"/>
      <c r="B40" s="11"/>
      <c r="C40" s="13"/>
      <c r="D40" s="11"/>
      <c r="E40" s="11"/>
      <c r="F40" s="11"/>
      <c r="G40" s="11"/>
      <c r="H40" s="63" t="s">
        <v>40</v>
      </c>
      <c r="I40" s="68" t="n">
        <f aca="false">SUM(I38+I39)</f>
        <v>0</v>
      </c>
      <c r="J40" s="65"/>
      <c r="K40" s="29"/>
      <c r="M40" s="62"/>
    </row>
    <row r="41" s="11" customFormat="true" ht="27.75" hidden="false" customHeight="true" outlineLevel="0" collapsed="false">
      <c r="A41" s="9"/>
      <c r="C41" s="13"/>
      <c r="H41" s="63"/>
      <c r="I41" s="69"/>
      <c r="J41" s="65"/>
      <c r="K41" s="29"/>
      <c r="M41" s="70"/>
    </row>
    <row r="42" s="11" customFormat="true" ht="19.5" hidden="false" customHeight="true" outlineLevel="0" collapsed="false">
      <c r="A42" s="9"/>
      <c r="C42" s="13"/>
      <c r="D42" s="71" t="s">
        <v>41</v>
      </c>
      <c r="E42" s="71"/>
      <c r="F42" s="71"/>
      <c r="G42" s="71"/>
      <c r="H42" s="71"/>
      <c r="I42" s="71"/>
      <c r="J42" s="72"/>
      <c r="K42" s="29"/>
      <c r="M42" s="70"/>
    </row>
    <row r="43" s="11" customFormat="true" ht="18.75" hidden="false" customHeight="true" outlineLevel="0" collapsed="false">
      <c r="A43" s="9"/>
      <c r="C43" s="13"/>
      <c r="E43" s="73"/>
      <c r="F43" s="73"/>
      <c r="G43" s="73"/>
      <c r="H43" s="73"/>
      <c r="I43" s="73"/>
      <c r="J43" s="72"/>
      <c r="K43" s="29"/>
      <c r="M43" s="70"/>
    </row>
    <row r="44" s="75" customFormat="true" ht="20.25" hidden="false" customHeight="true" outlineLevel="0" collapsed="false">
      <c r="A44" s="74" t="s">
        <v>42</v>
      </c>
      <c r="B44" s="9"/>
      <c r="C44" s="13"/>
      <c r="D44" s="9"/>
      <c r="E44" s="9"/>
      <c r="F44" s="9"/>
      <c r="G44" s="9"/>
      <c r="H44" s="9"/>
      <c r="I44" s="9"/>
      <c r="J44" s="9"/>
      <c r="K44" s="47"/>
      <c r="M44" s="76"/>
    </row>
    <row r="45" s="11" customFormat="true" ht="18.75" hidden="false" customHeight="true" outlineLevel="0" collapsed="false">
      <c r="A45" s="77" t="n">
        <f aca="false">IF(I3="C001",M2,IF(I3="P010",M3,IF(I3="S006",M4,IF(I3="S002",M5,IF(I3="N004",M6,IF(I3="P003",M8,IF(I3="J002",M7,IF(I3="J003",M9))))))))</f>
        <v>0</v>
      </c>
      <c r="B45" s="30"/>
      <c r="C45" s="15"/>
      <c r="D45" s="30"/>
      <c r="E45" s="30"/>
      <c r="F45" s="28"/>
      <c r="G45" s="30"/>
      <c r="H45" s="30"/>
      <c r="I45" s="66"/>
      <c r="J45" s="30"/>
      <c r="K45" s="78"/>
      <c r="M45" s="70"/>
    </row>
    <row r="46" customFormat="false" ht="18.75" hidden="false" customHeight="true" outlineLevel="0" collapsed="false">
      <c r="A46" s="30" t="s">
        <v>43</v>
      </c>
      <c r="B46" s="30"/>
      <c r="C46" s="28"/>
      <c r="D46" s="30"/>
      <c r="E46" s="30"/>
      <c r="F46" s="30"/>
      <c r="G46" s="30"/>
      <c r="H46" s="30"/>
      <c r="I46" s="11"/>
      <c r="J46" s="30"/>
      <c r="K46" s="29"/>
    </row>
    <row r="47" customFormat="false" ht="18.75" hidden="false" customHeight="true" outlineLevel="0" collapsed="false">
      <c r="A47" s="10"/>
      <c r="B47" s="11"/>
      <c r="C47" s="13"/>
      <c r="D47" s="11"/>
      <c r="E47" s="11"/>
      <c r="F47" s="11"/>
      <c r="G47" s="11"/>
      <c r="H47" s="11"/>
      <c r="I47" s="79" t="s">
        <v>44</v>
      </c>
      <c r="J47" s="11"/>
      <c r="K47" s="29"/>
    </row>
    <row r="48" customFormat="false" ht="18.75" hidden="false" customHeight="true" outlineLevel="0" collapsed="false">
      <c r="A48" s="10"/>
      <c r="B48" s="70"/>
      <c r="C48" s="13"/>
      <c r="D48" s="11"/>
      <c r="E48" s="11"/>
      <c r="F48" s="11"/>
      <c r="G48" s="11"/>
      <c r="H48" s="11"/>
      <c r="I48" s="11"/>
      <c r="J48" s="11"/>
      <c r="K48" s="29"/>
    </row>
    <row r="49" customFormat="false" ht="18.75" hidden="false" customHeight="true" outlineLevel="0" collapsed="false">
      <c r="A49" s="10"/>
      <c r="B49" s="80"/>
      <c r="F49" s="11"/>
      <c r="G49" s="11"/>
    </row>
    <row r="50" customFormat="false" ht="18.75" hidden="false" customHeight="true" outlineLevel="0" collapsed="false">
      <c r="A50" s="10"/>
      <c r="B50" s="80"/>
      <c r="F50" s="11"/>
      <c r="G50" s="11"/>
    </row>
    <row r="51" customFormat="false" ht="18" hidden="false" customHeight="true" outlineLevel="0" collapsed="false">
      <c r="A51" s="10"/>
      <c r="B51" s="80"/>
      <c r="F51" s="11"/>
      <c r="G51" s="11"/>
    </row>
    <row r="52" customFormat="false" ht="11.25" hidden="false" customHeight="true" outlineLevel="0" collapsed="false">
      <c r="A52" s="10"/>
      <c r="B52" s="11"/>
      <c r="F52" s="11"/>
      <c r="G52" s="11"/>
    </row>
    <row r="53" customFormat="false" ht="11.25" hidden="false" customHeight="true" outlineLevel="0" collapsed="false">
      <c r="A53" s="11"/>
      <c r="B53" s="11"/>
      <c r="F53" s="11"/>
      <c r="G53" s="11"/>
    </row>
    <row r="54" customFormat="false" ht="11.25" hidden="false" customHeight="true" outlineLevel="0" collapsed="false">
      <c r="A54" s="11"/>
      <c r="B54" s="11"/>
      <c r="F54" s="11"/>
      <c r="G54" s="11"/>
    </row>
    <row r="55" customFormat="false" ht="11.25" hidden="false" customHeight="true" outlineLevel="0" collapsed="false">
      <c r="G55" s="11"/>
    </row>
  </sheetData>
  <mergeCells count="5">
    <mergeCell ref="K1:K6"/>
    <mergeCell ref="B5:G5"/>
    <mergeCell ref="B6:G6"/>
    <mergeCell ref="F7:G7"/>
    <mergeCell ref="E39:G39"/>
  </mergeCells>
  <printOptions headings="false" gridLines="false" gridLinesSet="true" horizontalCentered="true" verticalCentered="false"/>
  <pageMargins left="0" right="0" top="0.118055555555556" bottom="0.118055555555556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/>
  <dc:language>en-US</dc:language>
  <cp:lastModifiedBy>Pongburit Wongchaiyakul</cp:lastModifiedBy>
  <cp:lastPrinted>2026-06-05T09:28:08Z</cp:lastPrinted>
  <dcterms:modified xsi:type="dcterms:W3CDTF">2026-07-10T04:45:13Z</dcterms:modified>
  <cp:revision>4</cp:revision>
  <dc:subject/>
  <dc:title/>
</cp:coreProperties>
</file>