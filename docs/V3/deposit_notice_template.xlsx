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date" sheetId="1" state="visible" r:id="rId3"/>
    <sheet name="Sheet1" sheetId="2" state="visible" r:id="rId4"/>
  </sheets>
  <definedNames>
    <definedName function="false" hidden="false" localSheetId="0" name="_xlnm.Print_Area" vbProcedure="false">Update!$A$1:$I$49</definedName>
    <definedName function="false" hidden="false" name="_xlfn_CONCAT" vbProcedure="false"/>
    <definedName function="false" hidden="false" localSheetId="0" name="Z_992FF402_7B08_4488_BE03_FE9E4AF1EE1D__wvu_Col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<sst xmlns="http://schemas.openxmlformats.org/spreadsheetml/2006/main" count="90" uniqueCount="90">
  <si>
    <r>
      <rPr>
        <sz val="20"/>
        <rFont val="Angsana New"/>
        <family val="1"/>
      </rPr>
      <t xml:space="preserve">                         </t>
    </r>
    <r>
      <rPr>
        <sz val="22"/>
        <rFont val="Angsana New"/>
        <family val="1"/>
        <charset val="222"/>
      </rPr>
      <t xml:space="preserve"> </t>
    </r>
    <r>
      <rPr>
        <b val="true"/>
        <sz val="22"/>
        <rFont val="Angsana New"/>
        <family val="1"/>
        <charset val="222"/>
      </rPr>
      <t xml:space="preserve">บริษัท จี แอล แอนด์ อาร์ แทปส์  แอนด์ ไทลส์ จำกัด</t>
    </r>
  </si>
  <si>
    <t xml:space="preserve">ใบแจ้งยอด</t>
  </si>
  <si>
    <r>
      <rPr>
        <sz val="13"/>
        <rFont val="Browallia New"/>
        <family val="2"/>
        <charset val="222"/>
      </rPr>
      <t xml:space="preserve">                      </t>
    </r>
    <r>
      <rPr>
        <sz val="15"/>
        <rFont val="Browallia New"/>
        <family val="2"/>
        <charset val="222"/>
      </rPr>
      <t xml:space="preserve">     201 ซอยสุขุมวิท 63 ถ.สุขุมวิท แขวงคลองตันเหนือ เขตวัฒนา กทม.10110</t>
    </r>
  </si>
  <si>
    <t xml:space="preserve">เงินรับมัดจำ</t>
  </si>
  <si>
    <r>
      <rPr>
        <sz val="13"/>
        <rFont val="Browallia New"/>
        <family val="2"/>
        <charset val="1"/>
      </rPr>
      <t xml:space="preserve">                           </t>
    </r>
    <r>
      <rPr>
        <sz val="15"/>
        <rFont val="Browallia New"/>
        <family val="2"/>
        <charset val="222"/>
      </rPr>
      <t xml:space="preserve">โทรศัพท์  0-2711-5995 e-mail : info@glr.co.th</t>
    </r>
  </si>
  <si>
    <t xml:space="preserve">                           สำนักงานใหญ่ : เลขที่ผู้เสียภาษีอากร 0105542026329</t>
  </si>
  <si>
    <t xml:space="preserve">เรียน</t>
  </si>
  <si>
    <t xml:space="preserve">บริษัท  / เลขประจำตัวผู้เสียภาษี :  	 </t>
  </si>
  <si>
    <t xml:space="preserve">วันที่ : </t>
  </si>
  <si>
    <t xml:space="preserve">ที่อยู่</t>
  </si>
  <si>
    <t xml:space="preserve">เลขที่เอกสาร : </t>
  </si>
  <si>
    <t xml:space="preserve">อ้างอิงใบเสนอราคา / ใบสั่งซื้อ : </t>
  </si>
  <si>
    <t xml:space="preserve">ลำดับ</t>
  </si>
  <si>
    <t xml:space="preserve">รายละเอียด</t>
  </si>
  <si>
    <t xml:space="preserve">จำนวน</t>
  </si>
  <si>
    <t xml:space="preserve">หน่วย</t>
  </si>
  <si>
    <t xml:space="preserve">ราคา</t>
  </si>
  <si>
    <t xml:space="preserve">ส่วนลด</t>
  </si>
  <si>
    <t xml:space="preserve">คงเหลือ</t>
  </si>
  <si>
    <r>
      <rPr>
        <sz val="14"/>
        <rFont val="Browallia New"/>
        <family val="2"/>
        <charset val="1"/>
      </rPr>
      <t xml:space="preserve">เป็นเงิน </t>
    </r>
    <r>
      <rPr>
        <sz val="14"/>
        <rFont val="Browallia New"/>
        <family val="2"/>
        <charset val="222"/>
      </rPr>
      <t xml:space="preserve">(บาท) </t>
    </r>
  </si>
  <si>
    <t xml:space="preserve">Project : Khun Phung Residence</t>
  </si>
  <si>
    <t xml:space="preserve">แผ่น</t>
  </si>
  <si>
    <t xml:space="preserve">พิเศษ</t>
  </si>
  <si>
    <t xml:space="preserve">หมายเหตุ</t>
  </si>
  <si>
    <r>
      <rPr>
        <sz val="14"/>
        <rFont val="Browallia New"/>
        <family val="2"/>
        <charset val="222"/>
      </rPr>
      <t xml:space="preserve">1.ราคาข้างต้นรวมค่าขนส่งถึงชั้น 1 ของหน่วยงาน</t>
    </r>
    <r>
      <rPr>
        <sz val="14"/>
        <rFont val="Browallia New"/>
        <family val="2"/>
        <charset val="1"/>
      </rPr>
      <t xml:space="preserve">ในเขตกทม</t>
    </r>
    <r>
      <rPr>
        <sz val="14"/>
        <rFont val="Browallia New"/>
        <family val="2"/>
        <charset val="222"/>
      </rPr>
      <t xml:space="preserve">. </t>
    </r>
  </si>
  <si>
    <t xml:space="preserve">  แต่ไม่รวมค่าตัดและค่าติดตั้ง</t>
  </si>
  <si>
    <t xml:space="preserve">2.จ่ายเช็คในนามบริษัท จี แอล แอนด์ อาร์ แทปส์ แอนด์ ไทลส์ จำกัด</t>
  </si>
  <si>
    <t xml:space="preserve">   หรือโอนเงินเข้าบัญชี เลขที่ 003-1-15914-8 บัญชีกระแสรายวัน </t>
  </si>
  <si>
    <t xml:space="preserve">   ธนาคารกสิกรไทย สาขาสุขุมวิท 33 (บางกะปิ)</t>
  </si>
  <si>
    <t xml:space="preserve">3.กรณีโอนเงินกรุณาส่ง Pay-in มาที่ e-mail : info@glr.co.th</t>
  </si>
  <si>
    <t xml:space="preserve">รวมเป็นเงิน</t>
  </si>
  <si>
    <t xml:space="preserve">ขอรับเงินมัดจำ</t>
  </si>
  <si>
    <t xml:space="preserve">ภาษีมูลค่าเพิ่ม</t>
  </si>
  <si>
    <t xml:space="preserve">ผู้จัดทำ</t>
  </si>
  <si>
    <t xml:space="preserve">_______________________________</t>
  </si>
  <si>
    <t xml:space="preserve">รวมเป็นเงินที่ต้องชำระ</t>
  </si>
  <si>
    <t xml:space="preserve">       ( จินตนา  หาญมนตรี )</t>
  </si>
  <si>
    <t xml:space="preserve">    วันที่......../…มิ.ย..../....2569....</t>
  </si>
  <si>
    <t xml:space="preserve">บริษัท สกลโฮมเซ็นเตอร์ จำกัด (สำนักงานใหญ่) / เลขประจำตัวผู้เสียภาษี : 0475547000074</t>
  </si>
  <si>
    <t xml:space="preserve">เลขที่ 190/4 ถนนนิตโย ตำบลธาตุเชิงชุม อำเภอเมืองฯ จังหวัดสกลนคร 47000</t>
  </si>
  <si>
    <t xml:space="preserve">บริษัท ทีเอสอาร์ อินทิเรีย จำกัด (สำนักงานใหญ่) / เลขประจำตัวผู้เสียภาษี : 0735556000593</t>
  </si>
  <si>
    <t xml:space="preserve">เลขที่ 18/3 หมู่ที่ 10 
ตำบลหนองเพรางาย อำเภอไทรน้อย จังหวัดนนทบุรี 11150</t>
  </si>
  <si>
    <t xml:space="preserve">บริษัท คริสเตียนีและนีลเส็น ดีซีเอ็ม จำกัด (สำนักงานใหญ่)  / เลขประจำตัวผู้เสียภาษี : 0105566024903</t>
  </si>
  <si>
    <t xml:space="preserve">เลขที่ 727 ถนนลาซาล แขวงบางนาใต้ เขตบางนา กรุงเทพมหานคร 10260</t>
  </si>
  <si>
    <t xml:space="preserve">บริษัท ทวีมงคลก่อสร้าง (2000) จำกัด (สำนักงานใหญ่) / เลขที่ประจำตัวผู้เสียภาษี : 0105544019273</t>
  </si>
  <si>
    <t xml:space="preserve">เลขที่ 8,8/1 ซอยเพชรเกษม 48 แยก 13 ถนนเพชรเกษม แขวงบางด้วน เขตภาษีเจริญ กรุงเทพมหานคร 10160</t>
  </si>
  <si>
    <t xml:space="preserve">บริษัท มาย เดีย ดีไซน์ จำกัด (สำนักงานใหญ่) / เลขประจำตัวผู้เสียภาษี : 0135549009161</t>
  </si>
  <si>
    <t xml:space="preserve">เลขที่ 8/55 ถนนรัชดา-รามอินทรา แขวงรามอินทรา เขตคันนายาว กรุงเทพมหานคร 10230</t>
  </si>
  <si>
    <t xml:space="preserve">บริษัท ที.ที.เอส. เอ็นจิเนียริ่ง (2004) จำกัด (สำนักงานใหญ่) / เลขประจำตัวผู้เสียภาษี : 0105547125325</t>
  </si>
  <si>
    <t xml:space="preserve">เลขที่ 3 ซอยเฉลิมพระเกียรติ ร.9 ซ.72 แขวงประเวศ เขตประเวศ กรุงเทพมหานคร 10250</t>
  </si>
  <si>
    <t xml:space="preserve">บริษัท เน็กซ์ เลเวล เอ็ม จำกัด (สำนักงานใหญ่) / เลขประจำตัวผู้เสียภาษี : 0105566074854</t>
  </si>
  <si>
    <t xml:space="preserve">เลขที่ 216/85 ถนนกาญจนาภิเษก  แขวงทับช้าง เขตสะพานสูง กรุงเทพมหานคร 10250</t>
  </si>
  <si>
    <t xml:space="preserve">บริษัท เบรน คอนสตรัคชั่น จำกัด (สำนักงานใหญ่) / เลขประจำตัวผู้เสียภาษี : 0105534062362</t>
  </si>
  <si>
    <t xml:space="preserve">เลขที่ 1108/123 ถนนพรานนก แขวงบ้านช่างหล่อ เขตบางกอกน้อย กรุงเทพมหานคร 10700</t>
  </si>
  <si>
    <t xml:space="preserve">บริษัท อิมแพค เรียลลิตี้ คอร์ปอเรชั่น จำกัด (สำนักงานใหญ่) / เลขประจำตัวผู้เสียภาษี : 0105545084559</t>
  </si>
  <si>
    <t xml:space="preserve">อาคารสปริง ทาวเวอร์ ชั้นที่ 22 เลขที่ 188 ถนนพญาไท แขวงทุ่งพญาไท เขตราชเทวี กรุงเทพมหานคร 10400</t>
  </si>
  <si>
    <t xml:space="preserve">บริษัท ณัฐวุฒิแมนชั่น จำกัด (สำนักงานใหญ่) / เลขประจำตัวผู้เสียภาษี : 0105538087114</t>
  </si>
  <si>
    <t xml:space="preserve">เลขที่ 100 ซ.ลาดพร้าว 73 (แหลมทอง) ถ.ลาดพร้าว แขวงคลองเจ้าคุณสิงห์ เขตวังทองหลาง กรุงเทพมหานคร 10310</t>
  </si>
  <si>
    <t xml:space="preserve">บริษัท ไฮ เอฟ คูลลิ่ง จำกัด (สำนักงานใหญ่) / เลขประจำตัวผู้เสียภาษี : 0105530028445</t>
  </si>
  <si>
    <t xml:space="preserve">เลขที่ 971 ซอยจรัญสนิทวงศ์ 75 ถนนจรัญสนิทวงศ์ แขวงบางพลัด เขตบางพลัด กรุงเทพมหานคร 10700</t>
  </si>
  <si>
    <t xml:space="preserve">คุณสุชาดา บุนนาค / โทร. 0934569141</t>
  </si>
  <si>
    <t xml:space="preserve">เลขที่ 50 ซอยศรีรุ้ง ถนนเชื้องเพลิง แขวงทุ่งมหาเมฆ เขตสาทร กรุงเทพมหานคร 10120</t>
  </si>
  <si>
    <t xml:space="preserve">บริษัท โฆสิตดีแปด จำกัด  (สำนักงานใหญ่) / เลขประจำตัวผู้เสียภาษี : 0105556193371</t>
  </si>
  <si>
    <t xml:space="preserve">เลขที่ 56/7 ตรอก/ซอย ลาดพร้าว 80 แยก22 แขวงวังทองหลาง เขตวังทองหลาง กรุงเทพมหานคร 10310</t>
  </si>
  <si>
    <t xml:space="preserve">บริษัท ครีฟูล อินทีเรีย จำกัด (สำนักงานใหญ่) / เลขประจำตัวผู้เสียภาษี : 0105559168318</t>
  </si>
  <si>
    <t xml:space="preserve">เลขที่ 4 ซอยเฉลิมพระเกียรติ ร.9 ซอย 30 แยก 20 แขวงดอกไม้ เขตประเวศ กรุงเทพมหานคร 10250</t>
  </si>
  <si>
    <t xml:space="preserve">บริษัท เคเอ็มไอที คอนสตรัคชั่น จำกัด (สำนักงานใหญ่) / เลขประจำตัวผู้เสียภาษี : 0835552006642</t>
  </si>
  <si>
    <t xml:space="preserve">เลขที่ 188/49 หมู่ที่ 4 ตำบลเทพกระษัตรี อำเภอถลาง จังหวัดภูเก็ต 83110</t>
  </si>
  <si>
    <t xml:space="preserve">บริษัท อาร์ทีซี คอนสตรัคชั่น แอนด์ รีโนเวท จำกัด (สำนักงานใหญ่) / เลขประจำตัวผู้เสียภาษี :  	0835566012569 </t>
  </si>
  <si>
    <t xml:space="preserve">เลขที่ 15-17 ถนนนิมิตร 1 ตำบลตลาดใหญ่ อำเภอเมืองภูเก็ต จังหวัดภูเก็ต 83000</t>
  </si>
  <si>
    <t xml:space="preserve">บริษัท นำเกียรติ จำกัด (สำนักงานใหญ่) / เลขประจำตัวผู้เสียภาษี : 0105508002323</t>
  </si>
  <si>
    <t xml:space="preserve">เลขที่ 12 ตรอก/ซอย สุขุมวิท3 ถนนสุขุมวิท แขวงคลองเตยเหนือ เขตวัฒนา กรุงเทพมหานคร 10110</t>
  </si>
  <si>
    <t xml:space="preserve">บริษัท ดี-ท็อปส์ เอ็นจิเนียริ่ง แอนด์ ซัพพลาย จำกัด (สำนักงานใหญ่) / เลขประจำตัวผู้เสียภาษี : 0835546006385</t>
  </si>
  <si>
    <t xml:space="preserve">เลขที่ 888 หมู่ที่ 1 ตำบลวิชิต อำเภอเมืองภูเก็ต จังหวัดภูเก็ต 83000</t>
  </si>
  <si>
    <t xml:space="preserve">บริษัท นีท สเปช สตูดิโอ จำกัด (สำนักงานใหญ่) / เลขประจำตัวผู้เสียภาษี : 0105566185176</t>
  </si>
  <si>
    <t xml:space="preserve">เลขที่ 250/4 ถนนหทัยราษฎร์ แขวงบางชัน เขตคลองสามวา กรุงเทพมหานคร 10510</t>
  </si>
  <si>
    <t xml:space="preserve">บริษัท เอแอนด์อี แอสโซซิเอชั่น จำกัด (สำนักงานใหญ่) / เลขประจำตัวผู้เสียภาษี : 0105560056803</t>
  </si>
  <si>
    <t xml:space="preserve">เลขที่ 11/132 หมู่ที่ 13 ตำบลบางแก้ว อำเภอบางพลี จังหวัดสมุทรปราการ 10540</t>
  </si>
  <si>
    <t xml:space="preserve">บริษัท ฟินเทคนิค จำกัด (สำนักงานใหญ่) / เลขประจำตัวผู้เสียภาษี : 0115535005079</t>
  </si>
  <si>
    <t xml:space="preserve">เลขที่ 6/17 หมู่ที่ 3 ถนนเลียบคลองห้า ตำบลลาดสวาย อำเภอลำลูกกา จังหวัดปทุมธานี 12150</t>
  </si>
  <si>
    <t xml:space="preserve">บริษัท ที กำลังสอง จำกัด (สำนักงานใหญ่) / เลขประจำตัวผู้เสียภาษี : 0105550086831</t>
  </si>
  <si>
    <t xml:space="preserve">เลขที่ 1970 ถนนเพชรบุรีตัดใหม่ แขวงบางกะปิ เขตห้วยขวาง กรุงเทพมหานคร 10310</t>
  </si>
  <si>
    <t xml:space="preserve">บริษัท ทีมวิศว์ คอนสตรัคชั่น จำกัด (สำนักงานใหญ่) / เลขประจำตัวผู้เสียภาษี : 0735537001890</t>
  </si>
  <si>
    <t xml:space="preserve">เลขที่ 88 ซอย 13 ถนนเพชรเกษม ตำบลห้วยจรเข้ อำเภอเมืองนครปฐม จังหวัดนครปฐม 73000</t>
  </si>
  <si>
    <t xml:space="preserve">บริษัท หลุยส์ผลิตภัณฑ์กาวเทป จำกัด (สำนักงานใหญ่) / เลขประจำตัวผู้เสียภาษี : 0105516003554</t>
  </si>
  <si>
    <t xml:space="preserve">เลขที่ 1070 ตรอก/ซอย สวนพลู ถนนสาทรใต้ แขวงทุ่งมหาเมฆ เขตสาทร กรุงเทพมหานคร 10120</t>
  </si>
  <si>
    <t xml:space="preserve">บริษัท อาศา เฟอร์นิเจอร์ จำกัด (สำนักงานใหญ่) / เลขประจำตัวผู้เสียภาษี : 0105531017251</t>
  </si>
  <si>
    <t xml:space="preserve">เลขที่ 313/8 ถนนพัฒนาการ แขวงประเวศ เขตประเวศ กรุงเทพมหานคร 10250</t>
  </si>
  <si>
    <t xml:space="preserve">บริษัท คอนสตรัคชั่น ไลนส์ จำกัด (สำนักงานใหญ่) / เลขประจำตัวผู้เสียภาษี : 0105533129803</t>
  </si>
  <si>
    <t xml:space="preserve">เลขที่ 55 ซอยรามอินทรา 23 ถนนรามอินทรา แขวงอนุสาวรีย์ เขตบางเขน กรุงเทพมหานคร 10220 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</si>
</sst>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[$-107041E]d\ mmmm\ yyyy;@"/>
    <numFmt numFmtId="166" formatCode="d&quot; ดดดด bbbb&quot;"/>
    <numFmt numFmtId="167" formatCode="General"/>
    <numFmt numFmtId="168" formatCode="_-* #,##0.00_-;\-* #,##0.00_-;_-* \-??_-;_-@_-"/>
    <numFmt numFmtId="169" formatCode="#,##0"/>
    <numFmt numFmtId="170" formatCode="_-* #,##0_-;\-* #,##0_-;_-* \-??_-;_-@_-"/>
    <numFmt numFmtId="171" formatCode="#,##0.00"/>
    <numFmt numFmtId="172" formatCode="0%"/>
    <numFmt numFmtId="173" formatCode="#,##0.00_ ;\-#,##0.00\ "/>
    <numFmt numFmtId="174" formatCode="[$-F800]dddd&quot;, &quot;mmmm\ dd&quot;, &quot;yyyy"/>
    <numFmt numFmtId="175" formatCode="_-* #,##0.00_-;\-* #,##0.00_-;_-* \-??_-;_-@_-"/>
  </numFmts>
  <fonts count="22">
    <font>
      <sz val="14"/>
      <name val="Cordia New"/>
      <family val="0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Cordia New"/>
      <family val="2"/>
    </font>
    <font>
      <sz val="13"/>
      <name val="Browallia New"/>
      <family val="2"/>
      <charset val="1"/>
    </font>
    <font>
      <sz val="20"/>
      <name val="Angsana New"/>
      <family val="1"/>
    </font>
    <font>
      <sz val="22"/>
      <name val="Angsana New"/>
      <family val="1"/>
      <charset val="222"/>
    </font>
    <font>
      <b val="true"/>
      <sz val="22"/>
      <name val="Angsana New"/>
      <family val="1"/>
      <charset val="222"/>
    </font>
    <font>
      <b val="true"/>
      <sz val="22"/>
      <name val="Angsana New"/>
      <family val="1"/>
    </font>
    <font>
      <sz val="13"/>
      <name val="Browallia New"/>
      <family val="2"/>
      <charset val="222"/>
    </font>
    <font>
      <sz val="15"/>
      <name val="Browallia New"/>
      <family val="2"/>
      <charset val="222"/>
    </font>
    <font>
      <sz val="14"/>
      <name val="Browallia New"/>
      <family val="2"/>
      <charset val="1"/>
    </font>
    <font>
      <sz val="14"/>
      <name val="BrowalliaUPC"/>
      <family val="2"/>
      <charset val="222"/>
    </font>
    <font>
      <sz val="14"/>
      <name val="Browallia New"/>
      <family val="2"/>
      <charset val="222"/>
    </font>
    <font>
      <sz val="13.5"/>
      <name val="Browallia New"/>
      <family val="2"/>
      <charset val="1"/>
    </font>
    <font>
      <u val="single"/>
      <sz val="14"/>
      <color rgb="FF0000FF"/>
      <name val="Cordia New"/>
      <family val="2"/>
    </font>
    <font>
      <sz val="14"/>
      <color rgb="FF969696"/>
      <name val="Browallia New"/>
      <family val="2"/>
      <charset val="1"/>
    </font>
    <font>
      <u val="single"/>
      <sz val="14"/>
      <name val="Browallia New"/>
      <family val="2"/>
      <charset val="1"/>
    </font>
    <font>
      <sz val="14"/>
      <color rgb="FFFFFF00"/>
      <name val="Browallia New"/>
      <family val="2"/>
      <charset val="1"/>
    </font>
    <font>
      <u val="single"/>
      <sz val="14"/>
      <name val="Browallia New"/>
      <family val="2"/>
      <charset val="222"/>
    </font>
    <font>
      <b val="true"/>
      <sz val="14"/>
      <name val="Browallia Ne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double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4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2" fontId="4" fillId="0" borderId="0" applyFont="true" applyBorder="false" applyAlignment="false" applyProtection="false"/>
    <xf numFmtId="164" fontId="16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3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2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2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2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2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2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12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2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2" fillId="0" borderId="0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2" fillId="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2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4" fontId="12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8" xfId="21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9" fontId="12" fillId="0" borderId="9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2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2" fillId="0" borderId="5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2" fontId="12" fillId="0" borderId="8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2" fillId="0" borderId="10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2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2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3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7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9" fontId="12" fillId="0" borderId="8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2" fillId="0" borderId="8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12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71" fontId="12" fillId="0" borderId="9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9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9" fontId="12" fillId="0" borderId="1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2" fillId="0" borderId="0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9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4" fillId="0" borderId="9" xfId="21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20" fillId="0" borderId="9" xfId="21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2" fillId="0" borderId="9" xfId="21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71" fontId="12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9" xfId="21" applyFont="true" applyBorder="true" applyAlignment="true" applyProtection="true">
      <alignment horizontal="left" vertical="top" textRotation="0" wrapText="true" indent="0" shrinkToFit="false"/>
      <protection locked="false" hidden="false"/>
    </xf>
    <xf numFmtId="171" fontId="12" fillId="0" borderId="9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2" fillId="0" borderId="0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9" xfId="2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2" fontId="12" fillId="0" borderId="8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2" fillId="0" borderId="10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0" borderId="9" xfId="22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2" fillId="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1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9" fontId="12" fillId="0" borderId="12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2" fillId="0" borderId="1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2" fillId="0" borderId="1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2" fontId="12" fillId="0" borderId="11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2" fillId="0" borderId="13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2" fillId="0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2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14" fillId="2" borderId="1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2" fontId="12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2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2" fontId="1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1" fillId="2" borderId="1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21" fillId="2" borderId="14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74" fontId="5" fillId="2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75" fontId="5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4" xfId="23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113040</xdr:colOff>
      <xdr:row>1</xdr:row>
      <xdr:rowOff>64080</xdr:rowOff>
    </xdr:from>
    <xdr:to>
      <xdr:col>1</xdr:col>
      <xdr:colOff>1496520</xdr:colOff>
      <xdr:row>3</xdr:row>
      <xdr:rowOff>164520</xdr:rowOff>
    </xdr:to>
    <xdr:pic>
      <xdr:nvPicPr>
        <xdr:cNvPr id="0" name="Picture 6" descr=""/>
        <xdr:cNvPicPr/>
      </xdr:nvPicPr>
      <xdr:blipFill>
        <a:blip r:embed="rId1"/>
        <a:stretch/>
      </xdr:blipFill>
      <xdr:spPr>
        <a:xfrm>
          <a:off x="113040" y="140400"/>
          <a:ext cx="2151360" cy="90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1059480</xdr:colOff>
      <xdr:row>45</xdr:row>
      <xdr:rowOff>51120</xdr:rowOff>
    </xdr:from>
    <xdr:to>
      <xdr:col>1</xdr:col>
      <xdr:colOff>1907640</xdr:colOff>
      <xdr:row>46</xdr:row>
      <xdr:rowOff>114120</xdr:rowOff>
    </xdr:to>
    <xdr:pic>
      <xdr:nvPicPr>
        <xdr:cNvPr id="1" name="Picture 19" descr=""/>
        <xdr:cNvPicPr/>
      </xdr:nvPicPr>
      <xdr:blipFill>
        <a:blip r:embed="rId2"/>
        <a:srcRect l="0" t="0" r="54218" b="8917"/>
        <a:stretch/>
      </xdr:blipFill>
      <xdr:spPr>
        <a:xfrm>
          <a:off x="1827360" y="11706480"/>
          <a:ext cx="848160" cy="301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9140625" defaultRowHeight="11.25" zeroHeight="false" outlineLevelRow="0" outlineLevelCol="0"/>
  <cols>
    <col collapsed="false" customWidth="true" hidden="false" outlineLevel="0" max="1" min="1" style="1" width="6.79"/>
    <col collapsed="false" customWidth="true" hidden="false" outlineLevel="0" max="2" min="2" style="1" width="58.19"/>
    <col collapsed="false" customWidth="true" hidden="false" outlineLevel="0" max="3" min="3" style="2" width="6.79"/>
    <col collapsed="false" customWidth="true" hidden="false" outlineLevel="0" max="4" min="4" style="1" width="5.79"/>
    <col collapsed="false" customWidth="true" hidden="false" outlineLevel="0" max="5" min="5" style="1" width="10.79"/>
    <col collapsed="false" customWidth="true" hidden="false" outlineLevel="0" max="6" min="6" style="1" width="5.19"/>
    <col collapsed="false" customWidth="true" hidden="false" outlineLevel="0" max="7" min="7" style="1" width="4.79"/>
    <col collapsed="false" customWidth="true" hidden="false" outlineLevel="0" max="8" min="8" style="1" width="12.19"/>
    <col collapsed="false" customWidth="true" hidden="false" outlineLevel="0" max="9" min="9" style="1" width="17.19"/>
    <col collapsed="false" customWidth="false" hidden="false" outlineLevel="0" max="257" min="10" style="1" width="9.19"/>
  </cols>
  <sheetData>
    <row r="1" customFormat="false" ht="6" hidden="false" customHeight="true" outlineLevel="0" collapsed="false"/>
    <row r="2" customFormat="false" ht="31.5" hidden="false" customHeight="true" outlineLevel="0" collapsed="false">
      <c r="B2" s="3" t="s">
        <v>0</v>
      </c>
      <c r="H2" s="4" t="s">
        <v>1</v>
      </c>
      <c r="I2" s="4"/>
    </row>
    <row r="3" customFormat="false" ht="32" hidden="false" customHeight="true" outlineLevel="0" collapsed="false">
      <c r="B3" s="5" t="s">
        <v>2</v>
      </c>
      <c r="H3" s="6" t="s">
        <v>3</v>
      </c>
      <c r="I3" s="6"/>
    </row>
    <row r="4" customFormat="false" ht="20" hidden="false" customHeight="true" outlineLevel="0" collapsed="false">
      <c r="B4" s="1" t="s">
        <v>4</v>
      </c>
      <c r="H4" s="7"/>
      <c r="I4" s="8"/>
    </row>
    <row r="5" customFormat="false" ht="20" hidden="false" customHeight="true" outlineLevel="0" collapsed="false">
      <c r="A5" s="9"/>
      <c r="B5" s="10" t="s">
        <v>5</v>
      </c>
      <c r="C5" s="11"/>
      <c r="D5" s="12"/>
      <c r="E5" s="12"/>
      <c r="F5" s="12"/>
      <c r="G5" s="12"/>
      <c r="H5" s="13"/>
      <c r="I5" s="14"/>
    </row>
    <row r="6" customFormat="false" ht="20" hidden="false" customHeight="true" outlineLevel="0" collapsed="false">
      <c r="A6" s="9"/>
      <c r="B6" s="10"/>
      <c r="C6" s="11"/>
      <c r="D6" s="12"/>
      <c r="E6" s="12"/>
      <c r="F6" s="12"/>
      <c r="G6" s="12"/>
      <c r="H6" s="13"/>
      <c r="I6" s="14"/>
    </row>
    <row r="7" customFormat="false" ht="21" hidden="false" customHeight="true" outlineLevel="0" collapsed="false">
      <c r="A7" s="15" t="s">
        <v>6</v>
      </c>
      <c r="B7" s="16" t="s">
        <v>7</v>
      </c>
      <c r="C7" s="17"/>
      <c r="D7" s="17"/>
      <c r="E7" s="17"/>
      <c r="F7" s="17"/>
      <c r="G7" s="18"/>
      <c r="H7" s="19" t="s">
        <v>8</v>
      </c>
      <c r="I7" s="20" t="n">
        <f aca="true">TODAY()</f>
        <v>46213</v>
      </c>
    </row>
    <row r="8" customFormat="false" ht="21" hidden="false" customHeight="true" outlineLevel="0" collapsed="false">
      <c r="A8" s="15" t="s">
        <v>9</v>
      </c>
      <c r="B8" s="21" t="e">
        <f aca="false">VLOOKUP(B7,Sheet1!A:D,2,0)</f>
        <v>#N/A</v>
      </c>
      <c r="C8" s="21"/>
      <c r="D8" s="21"/>
      <c r="E8" s="21"/>
      <c r="F8" s="21"/>
      <c r="G8" s="17"/>
      <c r="H8" s="19" t="s">
        <v>10</v>
      </c>
      <c r="I8" s="22"/>
      <c r="L8" s="23"/>
    </row>
    <row r="9" customFormat="false" ht="21" hidden="false" customHeight="true" outlineLevel="0" collapsed="false">
      <c r="A9" s="24"/>
      <c r="B9" s="25"/>
      <c r="C9" s="17"/>
      <c r="D9" s="17"/>
      <c r="E9" s="17"/>
      <c r="F9" s="17"/>
      <c r="G9" s="26"/>
      <c r="H9" s="26" t="s">
        <v>11</v>
      </c>
      <c r="I9" s="16"/>
    </row>
    <row r="10" s="32" customFormat="true" ht="18.5" hidden="false" customHeight="true" outlineLevel="0" collapsed="false">
      <c r="A10" s="27" t="s">
        <v>12</v>
      </c>
      <c r="B10" s="28" t="s">
        <v>13</v>
      </c>
      <c r="C10" s="27" t="s">
        <v>14</v>
      </c>
      <c r="D10" s="29" t="s">
        <v>15</v>
      </c>
      <c r="E10" s="30" t="s">
        <v>16</v>
      </c>
      <c r="F10" s="27" t="s">
        <v>17</v>
      </c>
      <c r="G10" s="27"/>
      <c r="H10" s="31" t="s">
        <v>18</v>
      </c>
      <c r="I10" s="27" t="s">
        <v>19</v>
      </c>
    </row>
    <row r="11" s="44" customFormat="true" ht="27.75" hidden="false" customHeight="true" outlineLevel="0" collapsed="false">
      <c r="A11" s="33"/>
      <c r="B11" s="34" t="s">
        <v>20</v>
      </c>
      <c r="C11" s="35"/>
      <c r="D11" s="36"/>
      <c r="E11" s="37"/>
      <c r="F11" s="38"/>
      <c r="G11" s="39"/>
      <c r="H11" s="40" t="str">
        <f aca="false">IF(G11="พิเศษ",J11,IF(E11-E11*F11=0,"",E11-E11*F11))</f>
        <v/>
      </c>
      <c r="I11" s="41" t="str">
        <f aca="false">IF(H11="","",H11*C11)</f>
        <v/>
      </c>
      <c r="J11" s="42"/>
      <c r="K11" s="43"/>
    </row>
    <row r="12" s="44" customFormat="true" ht="18.75" hidden="false" customHeight="true" outlineLevel="0" collapsed="false">
      <c r="A12" s="45"/>
      <c r="B12" s="46"/>
      <c r="C12" s="35"/>
      <c r="D12" s="47"/>
      <c r="E12" s="48"/>
      <c r="F12" s="38"/>
      <c r="G12" s="39"/>
      <c r="H12" s="40" t="str">
        <f aca="false">IF(G12="พิเศษ",J12,IF(E12-E12*F12=0,"",E12-E12*F12))</f>
        <v/>
      </c>
      <c r="I12" s="49" t="str">
        <f aca="false">IF(H12="","",H12*C12)</f>
        <v/>
      </c>
      <c r="K12" s="43"/>
    </row>
    <row r="13" s="44" customFormat="true" ht="20.25" hidden="false" customHeight="true" outlineLevel="0" collapsed="false">
      <c r="A13" s="45" t="n">
        <v>1</v>
      </c>
      <c r="B13" s="50"/>
      <c r="C13" s="35"/>
      <c r="D13" s="47" t="s">
        <v>21</v>
      </c>
      <c r="E13" s="51"/>
      <c r="F13" s="38"/>
      <c r="G13" s="39" t="s">
        <v>22</v>
      </c>
      <c r="H13" s="40"/>
      <c r="I13" s="49" t="e">
        <f aca="false">ROUND(IF(H13="","",H13*C13),2)</f>
        <v>#VALUE!</v>
      </c>
      <c r="J13" s="52" t="n">
        <v>739.6</v>
      </c>
      <c r="K13" s="42"/>
    </row>
    <row r="14" s="32" customFormat="true" ht="20.25" hidden="false" customHeight="true" outlineLevel="0" collapsed="false">
      <c r="A14" s="53"/>
      <c r="B14" s="54"/>
      <c r="C14" s="55"/>
      <c r="D14" s="47"/>
      <c r="E14" s="51"/>
      <c r="F14" s="56"/>
      <c r="G14" s="39"/>
      <c r="H14" s="40" t="str">
        <f aca="false">IF(G14="พิเศษ",J14,IF(E14-E14*F14=0,"",E14-E14*F14))</f>
        <v/>
      </c>
      <c r="I14" s="49" t="str">
        <f aca="false">IF(H14="","",H14*C14)</f>
        <v/>
      </c>
      <c r="J14" s="57"/>
      <c r="K14" s="57"/>
    </row>
    <row r="15" s="32" customFormat="true" ht="20" hidden="false" customHeight="true" outlineLevel="0" collapsed="false">
      <c r="A15" s="58"/>
      <c r="B15" s="59"/>
      <c r="C15" s="55"/>
      <c r="D15" s="47"/>
      <c r="E15" s="51"/>
      <c r="F15" s="56"/>
      <c r="G15" s="39"/>
      <c r="H15" s="40" t="str">
        <f aca="false">IF(G15="พิเศษ",J15,IF(E15-E15*F15=0,"",E15-E15*F15))</f>
        <v/>
      </c>
      <c r="I15" s="49" t="str">
        <f aca="false">IF(H15="","",H15*C15)</f>
        <v/>
      </c>
      <c r="J15" s="57"/>
      <c r="K15" s="57"/>
    </row>
    <row r="16" s="32" customFormat="true" ht="20" hidden="false" customHeight="true" outlineLevel="0" collapsed="false">
      <c r="A16" s="58"/>
      <c r="B16" s="59"/>
      <c r="C16" s="55"/>
      <c r="D16" s="47"/>
      <c r="E16" s="51"/>
      <c r="F16" s="56"/>
      <c r="G16" s="39"/>
      <c r="H16" s="40" t="str">
        <f aca="false">IF(G16="พิเศษ",J16,IF(E16-E16*F16=0,"",E16-E16*F16))</f>
        <v/>
      </c>
      <c r="I16" s="49" t="str">
        <f aca="false">IF(H16="","",H16*C16)</f>
        <v/>
      </c>
      <c r="J16" s="57"/>
      <c r="K16" s="57"/>
    </row>
    <row r="17" s="32" customFormat="true" ht="20" hidden="false" customHeight="true" outlineLevel="0" collapsed="false">
      <c r="A17" s="58"/>
      <c r="B17" s="59"/>
      <c r="C17" s="55"/>
      <c r="D17" s="47"/>
      <c r="E17" s="51"/>
      <c r="F17" s="56"/>
      <c r="G17" s="39"/>
      <c r="H17" s="40" t="str">
        <f aca="false">IF(G17="พิเศษ",J17,IF(E17-E17*F17=0,"",E17-E17*F17))</f>
        <v/>
      </c>
      <c r="I17" s="49" t="str">
        <f aca="false">IF(H17="","",H17*C17)</f>
        <v/>
      </c>
      <c r="J17" s="57"/>
      <c r="K17" s="57"/>
    </row>
    <row r="18" s="32" customFormat="true" ht="20" hidden="false" customHeight="true" outlineLevel="0" collapsed="false">
      <c r="A18" s="58"/>
      <c r="B18" s="59"/>
      <c r="C18" s="55"/>
      <c r="D18" s="47"/>
      <c r="E18" s="51"/>
      <c r="F18" s="56"/>
      <c r="G18" s="39"/>
      <c r="H18" s="40" t="str">
        <f aca="false">IF(G18="พิเศษ",J18,IF(E18-E18*F18=0,"",E18-E18*F18))</f>
        <v/>
      </c>
      <c r="I18" s="49" t="str">
        <f aca="false">IF(H18="","",H18*C18)</f>
        <v/>
      </c>
      <c r="J18" s="57"/>
      <c r="K18" s="57"/>
    </row>
    <row r="19" s="32" customFormat="true" ht="20" hidden="false" customHeight="true" outlineLevel="0" collapsed="false">
      <c r="A19" s="58"/>
      <c r="B19" s="59"/>
      <c r="C19" s="55"/>
      <c r="D19" s="47"/>
      <c r="E19" s="51"/>
      <c r="F19" s="56"/>
      <c r="G19" s="39"/>
      <c r="H19" s="40"/>
      <c r="I19" s="49"/>
      <c r="J19" s="57"/>
      <c r="K19" s="57"/>
    </row>
    <row r="20" s="32" customFormat="true" ht="20" hidden="false" customHeight="true" outlineLevel="0" collapsed="false">
      <c r="A20" s="58"/>
      <c r="B20" s="59"/>
      <c r="C20" s="55"/>
      <c r="D20" s="47"/>
      <c r="E20" s="51"/>
      <c r="F20" s="56"/>
      <c r="G20" s="39"/>
      <c r="H20" s="40"/>
      <c r="I20" s="49"/>
      <c r="J20" s="57"/>
      <c r="K20" s="57"/>
    </row>
    <row r="21" s="32" customFormat="true" ht="20" hidden="false" customHeight="true" outlineLevel="0" collapsed="false">
      <c r="A21" s="58"/>
      <c r="B21" s="59"/>
      <c r="C21" s="55"/>
      <c r="D21" s="47"/>
      <c r="E21" s="51"/>
      <c r="F21" s="56"/>
      <c r="G21" s="39"/>
      <c r="H21" s="40"/>
      <c r="I21" s="49"/>
      <c r="J21" s="57"/>
      <c r="K21" s="57"/>
    </row>
    <row r="22" s="32" customFormat="true" ht="20" hidden="false" customHeight="true" outlineLevel="0" collapsed="false">
      <c r="A22" s="58"/>
      <c r="B22" s="59"/>
      <c r="C22" s="55"/>
      <c r="D22" s="47"/>
      <c r="E22" s="51"/>
      <c r="F22" s="56"/>
      <c r="G22" s="39"/>
      <c r="H22" s="40"/>
      <c r="I22" s="49"/>
      <c r="J22" s="57"/>
      <c r="K22" s="57"/>
    </row>
    <row r="23" s="32" customFormat="true" ht="20" hidden="false" customHeight="true" outlineLevel="0" collapsed="false">
      <c r="A23" s="58"/>
      <c r="B23" s="59"/>
      <c r="C23" s="55"/>
      <c r="D23" s="47"/>
      <c r="E23" s="51"/>
      <c r="F23" s="56"/>
      <c r="G23" s="39"/>
      <c r="H23" s="40"/>
      <c r="I23" s="49"/>
      <c r="J23" s="57"/>
      <c r="K23" s="57"/>
    </row>
    <row r="24" s="32" customFormat="true" ht="20" hidden="false" customHeight="true" outlineLevel="0" collapsed="false">
      <c r="A24" s="58"/>
      <c r="B24" s="59"/>
      <c r="C24" s="55"/>
      <c r="D24" s="47"/>
      <c r="E24" s="51"/>
      <c r="F24" s="56"/>
      <c r="G24" s="39"/>
      <c r="H24" s="40" t="str">
        <f aca="false">IF(G24="พิเศษ",J24,IF(E24-E24*F24=0,"",E24-E24*F24))</f>
        <v/>
      </c>
      <c r="I24" s="49" t="str">
        <f aca="false">IF(H24="","",H24*C24)</f>
        <v/>
      </c>
      <c r="J24" s="57"/>
      <c r="K24" s="57"/>
    </row>
    <row r="25" s="32" customFormat="true" ht="20" hidden="false" customHeight="true" outlineLevel="0" collapsed="false">
      <c r="A25" s="58"/>
      <c r="B25" s="60"/>
      <c r="C25" s="55"/>
      <c r="D25" s="47"/>
      <c r="E25" s="51"/>
      <c r="F25" s="56"/>
      <c r="G25" s="39"/>
      <c r="H25" s="40" t="str">
        <f aca="false">IF(G25="พิเศษ",J25,IF(E25-E25*F25=0,"",E25-E25*F25))</f>
        <v/>
      </c>
      <c r="I25" s="49" t="str">
        <f aca="false">IF(H25="","",H25*C25)</f>
        <v/>
      </c>
      <c r="J25" s="57"/>
      <c r="K25" s="57"/>
    </row>
    <row r="26" s="32" customFormat="true" ht="20" hidden="false" customHeight="true" outlineLevel="0" collapsed="false">
      <c r="A26" s="58"/>
      <c r="B26" s="60"/>
      <c r="C26" s="35"/>
      <c r="D26" s="47"/>
      <c r="E26" s="51"/>
      <c r="F26" s="38"/>
      <c r="G26" s="39"/>
      <c r="H26" s="40" t="str">
        <f aca="false">IF(G26="พิเศษ",J26,IF(E26-E26*F26=0,"",E26-E26*F26))</f>
        <v/>
      </c>
      <c r="I26" s="49" t="str">
        <f aca="false">IF(H26="","",H26*C26)</f>
        <v/>
      </c>
      <c r="J26" s="57"/>
      <c r="K26" s="57"/>
    </row>
    <row r="27" s="32" customFormat="true" ht="20" hidden="false" customHeight="true" outlineLevel="0" collapsed="false">
      <c r="A27" s="58"/>
      <c r="B27" s="60"/>
      <c r="C27" s="35"/>
      <c r="D27" s="47"/>
      <c r="E27" s="48"/>
      <c r="F27" s="38"/>
      <c r="G27" s="39"/>
      <c r="H27" s="40" t="str">
        <f aca="false">IF(G27="พิเศษ",J27,IF(E27-E27*F27=0,"",E27-E27*F27))</f>
        <v/>
      </c>
      <c r="I27" s="49" t="str">
        <f aca="false">IF(H27="","",H27*C27)</f>
        <v/>
      </c>
      <c r="J27" s="57"/>
      <c r="K27" s="57"/>
    </row>
    <row r="28" s="32" customFormat="true" ht="20" hidden="false" customHeight="true" outlineLevel="0" collapsed="false">
      <c r="A28" s="58"/>
      <c r="B28" s="61"/>
      <c r="C28" s="35"/>
      <c r="D28" s="47"/>
      <c r="E28" s="48"/>
      <c r="F28" s="38"/>
      <c r="G28" s="39"/>
      <c r="H28" s="40" t="str">
        <f aca="false">IF(G28="พิเศษ",J28,IF(E28-E28*F28=0,"",E28-E28*F28))</f>
        <v/>
      </c>
      <c r="I28" s="49" t="str">
        <f aca="false">IF(H28="","",H28*C28)</f>
        <v/>
      </c>
      <c r="J28" s="57"/>
      <c r="K28" s="57"/>
    </row>
    <row r="29" s="32" customFormat="true" ht="20" hidden="false" customHeight="true" outlineLevel="0" collapsed="false">
      <c r="A29" s="58"/>
      <c r="B29" s="60"/>
      <c r="C29" s="35"/>
      <c r="D29" s="47"/>
      <c r="E29" s="48"/>
      <c r="F29" s="38"/>
      <c r="G29" s="39"/>
      <c r="H29" s="40" t="str">
        <f aca="false">IF(G29="พิเศษ",J29,IF(E29-E29*F29=0,"",E29-E29*F29))</f>
        <v/>
      </c>
      <c r="I29" s="49" t="str">
        <f aca="false">IF(H29="","",H29*C29)</f>
        <v/>
      </c>
      <c r="J29" s="57"/>
      <c r="K29" s="57"/>
    </row>
    <row r="30" s="32" customFormat="true" ht="20" hidden="false" customHeight="true" outlineLevel="0" collapsed="false">
      <c r="A30" s="58"/>
      <c r="B30" s="60"/>
      <c r="C30" s="35"/>
      <c r="D30" s="47"/>
      <c r="E30" s="48"/>
      <c r="F30" s="38"/>
      <c r="G30" s="39"/>
      <c r="H30" s="40" t="str">
        <f aca="false">IF(G30="พิเศษ",J30,IF(E30-E30*F30=0,"",E30-E30*F30))</f>
        <v/>
      </c>
      <c r="I30" s="49"/>
      <c r="J30" s="57"/>
      <c r="K30" s="57"/>
    </row>
    <row r="31" s="32" customFormat="true" ht="20" hidden="false" customHeight="true" outlineLevel="0" collapsed="false">
      <c r="A31" s="58"/>
      <c r="B31" s="62"/>
      <c r="C31" s="35"/>
      <c r="D31" s="47"/>
      <c r="E31" s="48"/>
      <c r="F31" s="38"/>
      <c r="G31" s="39"/>
      <c r="H31" s="40" t="str">
        <f aca="false">IF(G31="พิเศษ",J31,IF(E31-E31*F31=0,"",E31-E31*F31))</f>
        <v/>
      </c>
      <c r="I31" s="49" t="str">
        <f aca="false">IF(H31="","",H31*C31)</f>
        <v/>
      </c>
      <c r="J31" s="57"/>
      <c r="K31" s="57"/>
    </row>
    <row r="32" s="32" customFormat="true" ht="20" hidden="false" customHeight="true" outlineLevel="0" collapsed="false">
      <c r="A32" s="58"/>
      <c r="B32" s="60"/>
      <c r="C32" s="35"/>
      <c r="D32" s="47"/>
      <c r="E32" s="48"/>
      <c r="F32" s="38"/>
      <c r="G32" s="39"/>
      <c r="H32" s="40" t="str">
        <f aca="false">IF(G32="พิเศษ",J32,IF(E32-E32*F32=0,"",E32-E32*F32))</f>
        <v/>
      </c>
      <c r="I32" s="49" t="str">
        <f aca="false">IF(H32="","",H32*C32)</f>
        <v/>
      </c>
      <c r="J32" s="57"/>
      <c r="K32" s="57"/>
    </row>
    <row r="33" s="32" customFormat="true" ht="20" hidden="false" customHeight="true" outlineLevel="0" collapsed="false">
      <c r="A33" s="58"/>
      <c r="B33" s="61"/>
      <c r="C33" s="35"/>
      <c r="D33" s="47"/>
      <c r="E33" s="48"/>
      <c r="F33" s="38"/>
      <c r="G33" s="39"/>
      <c r="H33" s="40" t="str">
        <f aca="false">IF(G33="พิเศษ",J33,IF(E33-E33*F33=0,"",E33-E33*F33))</f>
        <v/>
      </c>
      <c r="I33" s="49" t="str">
        <f aca="false">IF(H33="","",H33*C33)</f>
        <v/>
      </c>
      <c r="J33" s="57"/>
      <c r="K33" s="63"/>
    </row>
    <row r="34" s="32" customFormat="true" ht="20.25" hidden="false" customHeight="true" outlineLevel="0" collapsed="false">
      <c r="A34" s="58"/>
      <c r="B34" s="64"/>
      <c r="C34" s="35"/>
      <c r="D34" s="47"/>
      <c r="E34" s="48"/>
      <c r="F34" s="38"/>
      <c r="G34" s="39"/>
      <c r="H34" s="40" t="str">
        <f aca="false">IF(G34="พิเศษ",J34,IF(E34-E34*F34=0,"",E34-E34*F34))</f>
        <v/>
      </c>
      <c r="I34" s="49" t="str">
        <f aca="false">IF(H34="","",H34*C34)</f>
        <v/>
      </c>
      <c r="J34" s="57"/>
      <c r="K34" s="63"/>
    </row>
    <row r="35" s="32" customFormat="true" ht="20.25" hidden="false" customHeight="true" outlineLevel="0" collapsed="false">
      <c r="A35" s="58"/>
      <c r="B35" s="64"/>
      <c r="C35" s="35"/>
      <c r="D35" s="47"/>
      <c r="E35" s="48"/>
      <c r="F35" s="38"/>
      <c r="G35" s="39"/>
      <c r="H35" s="40" t="str">
        <f aca="false">IF(G35="พิเศษ",J35,IF(E35-E35*F35=0,"",E35-E35*F35))</f>
        <v/>
      </c>
      <c r="I35" s="49" t="str">
        <f aca="false">IF(H35="","",H35*C35)</f>
        <v/>
      </c>
      <c r="J35" s="57"/>
      <c r="K35" s="63"/>
    </row>
    <row r="36" s="32" customFormat="true" ht="20" hidden="false" customHeight="true" outlineLevel="0" collapsed="false">
      <c r="A36" s="58"/>
      <c r="B36" s="61"/>
      <c r="C36" s="65"/>
      <c r="D36" s="47"/>
      <c r="E36" s="48"/>
      <c r="F36" s="38"/>
      <c r="G36" s="39"/>
      <c r="H36" s="40"/>
      <c r="I36" s="49" t="str">
        <f aca="false">IF(H36="","",H36*C36)</f>
        <v/>
      </c>
      <c r="J36" s="66"/>
      <c r="K36" s="63"/>
    </row>
    <row r="37" s="32" customFormat="true" ht="20.25" hidden="false" customHeight="true" outlineLevel="0" collapsed="false">
      <c r="A37" s="58"/>
      <c r="B37" s="67" t="s">
        <v>23</v>
      </c>
      <c r="C37" s="35"/>
      <c r="D37" s="47"/>
      <c r="E37" s="48"/>
      <c r="F37" s="68"/>
      <c r="G37" s="69"/>
      <c r="H37" s="40" t="str">
        <f aca="false">IF(G37="พิเศษ",J37,IF(E37-E37*F37=0,"",E37-E37*F37))</f>
        <v/>
      </c>
      <c r="I37" s="49" t="str">
        <f aca="false">IF(H37="","",H37*C37)</f>
        <v/>
      </c>
    </row>
    <row r="38" s="32" customFormat="true" ht="20.25" hidden="false" customHeight="true" outlineLevel="0" collapsed="false">
      <c r="A38" s="58"/>
      <c r="B38" s="70" t="s">
        <v>24</v>
      </c>
      <c r="C38" s="35"/>
      <c r="D38" s="47"/>
      <c r="E38" s="48"/>
      <c r="F38" s="68"/>
      <c r="G38" s="69"/>
      <c r="H38" s="40" t="str">
        <f aca="false">IF(G38="พิเศษ",J38,IF(E38-E38*F38=0,"",E38-E38*F38))</f>
        <v/>
      </c>
      <c r="I38" s="49" t="str">
        <f aca="false">IF(H38="","",H38*C38)</f>
        <v/>
      </c>
    </row>
    <row r="39" s="32" customFormat="true" ht="20.25" hidden="false" customHeight="true" outlineLevel="0" collapsed="false">
      <c r="A39" s="58"/>
      <c r="B39" s="71" t="s">
        <v>25</v>
      </c>
      <c r="C39" s="35"/>
      <c r="D39" s="47"/>
      <c r="E39" s="48"/>
      <c r="F39" s="68"/>
      <c r="G39" s="69"/>
      <c r="H39" s="40" t="str">
        <f aca="false">IF(G39="พิเศษ",J39,IF(E39-E39*F39=0,"",E39-E39*F39))</f>
        <v/>
      </c>
      <c r="I39" s="49" t="str">
        <f aca="false">IF(H39="","",H39*C39)</f>
        <v/>
      </c>
    </row>
    <row r="40" s="32" customFormat="true" ht="20.25" hidden="false" customHeight="true" outlineLevel="0" collapsed="false">
      <c r="A40" s="58"/>
      <c r="B40" s="72" t="s">
        <v>26</v>
      </c>
      <c r="C40" s="35"/>
      <c r="D40" s="47"/>
      <c r="E40" s="48"/>
      <c r="F40" s="68"/>
      <c r="G40" s="69"/>
      <c r="H40" s="40" t="str">
        <f aca="false">IF(G40="พิเศษ",J40,IF(E40-E40*F40=0,"",E40-E40*F40))</f>
        <v/>
      </c>
      <c r="I40" s="49" t="str">
        <f aca="false">IF(H40="","",H40*C40)</f>
        <v/>
      </c>
    </row>
    <row r="41" s="32" customFormat="true" ht="20.25" hidden="false" customHeight="true" outlineLevel="0" collapsed="false">
      <c r="A41" s="58"/>
      <c r="B41" s="73" t="s">
        <v>27</v>
      </c>
      <c r="C41" s="35"/>
      <c r="D41" s="47"/>
      <c r="E41" s="48"/>
      <c r="F41" s="68"/>
      <c r="G41" s="69"/>
      <c r="H41" s="40" t="str">
        <f aca="false">IF(G41="พิเศษ",J41,IF(E41-E41*F41=0,"",E41-E41*F41))</f>
        <v/>
      </c>
      <c r="I41" s="49" t="str">
        <f aca="false">IF(H41="","",H41*C41)</f>
        <v/>
      </c>
    </row>
    <row r="42" s="32" customFormat="true" ht="20.25" hidden="false" customHeight="true" outlineLevel="0" collapsed="false">
      <c r="A42" s="58"/>
      <c r="B42" s="73" t="s">
        <v>28</v>
      </c>
      <c r="C42" s="35"/>
      <c r="D42" s="47"/>
      <c r="E42" s="48"/>
      <c r="F42" s="68"/>
      <c r="G42" s="69"/>
      <c r="H42" s="40" t="str">
        <f aca="false">IF(G42="พิเศษ",J42,IF(E42-E42*F42=0,"",E42-E42*F42))</f>
        <v/>
      </c>
      <c r="I42" s="49" t="str">
        <f aca="false">IF(H42="","",H42*C42)</f>
        <v/>
      </c>
    </row>
    <row r="43" s="32" customFormat="true" ht="20.25" hidden="false" customHeight="true" outlineLevel="0" collapsed="false">
      <c r="A43" s="74"/>
      <c r="B43" s="75" t="s">
        <v>29</v>
      </c>
      <c r="C43" s="76"/>
      <c r="D43" s="77"/>
      <c r="E43" s="78"/>
      <c r="F43" s="79"/>
      <c r="G43" s="80"/>
      <c r="H43" s="81"/>
      <c r="I43" s="82" t="str">
        <f aca="false">IF(H43="","",H43*C43)</f>
        <v/>
      </c>
    </row>
    <row r="44" s="32" customFormat="true" ht="18.75" hidden="false" customHeight="true" outlineLevel="0" collapsed="false">
      <c r="C44" s="11"/>
      <c r="E44" s="83"/>
      <c r="F44" s="83"/>
      <c r="G44" s="83"/>
      <c r="H44" s="7" t="s">
        <v>30</v>
      </c>
      <c r="I44" s="84" t="e">
        <f aca="false">ROUND(SUM(I13:I43),2)</f>
        <v>#VALUE!</v>
      </c>
    </row>
    <row r="45" s="32" customFormat="true" ht="18.75" hidden="false" customHeight="true" outlineLevel="0" collapsed="false">
      <c r="C45" s="11"/>
      <c r="E45" s="85" t="s">
        <v>31</v>
      </c>
      <c r="F45" s="85"/>
      <c r="G45" s="85"/>
      <c r="H45" s="86" t="n">
        <v>0.5</v>
      </c>
      <c r="I45" s="87" t="e">
        <f aca="false">ROUND(I44*H45,2)</f>
        <v>#VALUE!</v>
      </c>
    </row>
    <row r="46" s="32" customFormat="true" ht="18.75" hidden="false" customHeight="true" outlineLevel="0" collapsed="false">
      <c r="A46" s="88"/>
      <c r="C46" s="11"/>
      <c r="E46" s="85" t="s">
        <v>32</v>
      </c>
      <c r="F46" s="85"/>
      <c r="G46" s="85"/>
      <c r="H46" s="89" t="n">
        <v>0.07</v>
      </c>
      <c r="I46" s="87" t="e">
        <f aca="false">ROUND(I45*H46,2)</f>
        <v>#VALUE!</v>
      </c>
    </row>
    <row r="47" s="32" customFormat="true" ht="18.75" hidden="false" customHeight="true" outlineLevel="0" collapsed="false">
      <c r="A47" s="90" t="s">
        <v>33</v>
      </c>
      <c r="B47" s="91" t="s">
        <v>34</v>
      </c>
      <c r="C47" s="11"/>
      <c r="E47" s="83"/>
      <c r="F47" s="92" t="s">
        <v>35</v>
      </c>
      <c r="G47" s="92"/>
      <c r="H47" s="92"/>
      <c r="I47" s="93" t="e">
        <f aca="false">SUM(I45:I46)</f>
        <v>#VALUE!</v>
      </c>
    </row>
    <row r="48" customFormat="false" ht="20.25" hidden="false" customHeight="true" outlineLevel="0" collapsed="false">
      <c r="A48" s="94"/>
      <c r="B48" s="91" t="s">
        <v>36</v>
      </c>
    </row>
    <row r="49" customFormat="false" ht="18" hidden="false" customHeight="true" outlineLevel="0" collapsed="false">
      <c r="A49" s="95"/>
      <c r="B49" s="96" t="s">
        <v>37</v>
      </c>
    </row>
    <row r="52" customFormat="false" ht="11.25" hidden="false" customHeight="true" outlineLevel="0" collapsed="false">
      <c r="L52" s="97"/>
    </row>
  </sheetData>
  <mergeCells count="7">
    <mergeCell ref="H2:I2"/>
    <mergeCell ref="H3:I3"/>
    <mergeCell ref="B8:F8"/>
    <mergeCell ref="F10:G10"/>
    <mergeCell ref="E45:G45"/>
    <mergeCell ref="E46:G46"/>
    <mergeCell ref="F47:H47"/>
  </mergeCells>
  <printOptions headings="false" gridLines="false" gridLinesSet="true" horizontalCentered="true" verticalCentered="false"/>
  <pageMargins left="0.275694444444444" right="0.170138888888889" top="0.290277777777778" bottom="0.2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29" activeCellId="0" sqref="B29"/>
    </sheetView>
  </sheetViews>
  <sheetFormatPr defaultColWidth="8.99609375" defaultRowHeight="19" zeroHeight="false" outlineLevelRow="0" outlineLevelCol="0"/>
  <cols>
    <col collapsed="false" customWidth="true" hidden="false" outlineLevel="0" max="1" min="1" style="0" width="82.39"/>
    <col collapsed="false" customWidth="true" hidden="false" outlineLevel="0" max="2" min="2" style="0" width="115.19"/>
  </cols>
  <sheetData>
    <row r="1" customFormat="false" ht="19" hidden="false" customHeight="false" outlineLevel="0" collapsed="false">
      <c r="A1" s="0" t="s">
        <v>38</v>
      </c>
      <c r="B1" s="0" t="s">
        <v>39</v>
      </c>
    </row>
    <row r="2" customFormat="false" ht="20" hidden="false" customHeight="true" outlineLevel="0" collapsed="false">
      <c r="A2" s="98" t="s">
        <v>40</v>
      </c>
      <c r="B2" s="99" t="s">
        <v>41</v>
      </c>
      <c r="C2" s="99"/>
      <c r="D2" s="99"/>
    </row>
    <row r="3" customFormat="false" ht="19" hidden="false" customHeight="false" outlineLevel="0" collapsed="false">
      <c r="A3" s="100" t="s">
        <v>42</v>
      </c>
      <c r="B3" s="100" t="s">
        <v>43</v>
      </c>
    </row>
    <row r="4" customFormat="false" ht="19" hidden="false" customHeight="false" outlineLevel="0" collapsed="false">
      <c r="A4" s="100" t="s">
        <v>44</v>
      </c>
      <c r="B4" s="100" t="s">
        <v>45</v>
      </c>
    </row>
    <row r="5" customFormat="false" ht="19" hidden="false" customHeight="false" outlineLevel="0" collapsed="false">
      <c r="A5" s="100" t="s">
        <v>46</v>
      </c>
      <c r="B5" s="100" t="s">
        <v>47</v>
      </c>
    </row>
    <row r="6" customFormat="false" ht="19" hidden="false" customHeight="false" outlineLevel="0" collapsed="false">
      <c r="A6" s="100" t="s">
        <v>48</v>
      </c>
      <c r="B6" s="100" t="s">
        <v>49</v>
      </c>
    </row>
    <row r="7" customFormat="false" ht="19" hidden="false" customHeight="false" outlineLevel="0" collapsed="false">
      <c r="A7" s="100" t="s">
        <v>50</v>
      </c>
      <c r="B7" s="100" t="s">
        <v>51</v>
      </c>
    </row>
    <row r="8" customFormat="false" ht="19" hidden="false" customHeight="false" outlineLevel="0" collapsed="false">
      <c r="A8" s="100" t="s">
        <v>52</v>
      </c>
      <c r="B8" s="100" t="s">
        <v>53</v>
      </c>
    </row>
    <row r="9" customFormat="false" ht="19" hidden="false" customHeight="false" outlineLevel="0" collapsed="false">
      <c r="A9" s="100" t="s">
        <v>54</v>
      </c>
      <c r="B9" s="100" t="s">
        <v>55</v>
      </c>
    </row>
    <row r="10" customFormat="false" ht="19" hidden="false" customHeight="false" outlineLevel="0" collapsed="false">
      <c r="A10" s="0" t="s">
        <v>56</v>
      </c>
      <c r="B10" s="100" t="s">
        <v>57</v>
      </c>
    </row>
    <row r="11" customFormat="false" ht="19" hidden="false" customHeight="false" outlineLevel="0" collapsed="false">
      <c r="A11" s="100" t="s">
        <v>58</v>
      </c>
      <c r="B11" s="100" t="s">
        <v>59</v>
      </c>
    </row>
    <row r="12" customFormat="false" ht="19" hidden="false" customHeight="false" outlineLevel="0" collapsed="false">
      <c r="A12" s="100" t="s">
        <v>60</v>
      </c>
      <c r="B12" s="100" t="s">
        <v>61</v>
      </c>
    </row>
    <row r="13" customFormat="false" ht="19" hidden="false" customHeight="false" outlineLevel="0" collapsed="false">
      <c r="A13" s="100" t="s">
        <v>62</v>
      </c>
      <c r="B13" s="100" t="s">
        <v>63</v>
      </c>
    </row>
    <row r="14" customFormat="false" ht="19" hidden="false" customHeight="false" outlineLevel="0" collapsed="false">
      <c r="A14" s="100" t="s">
        <v>64</v>
      </c>
      <c r="B14" s="100" t="s">
        <v>65</v>
      </c>
    </row>
    <row r="15" customFormat="false" ht="19" hidden="false" customHeight="false" outlineLevel="0" collapsed="false">
      <c r="A15" s="100" t="s">
        <v>66</v>
      </c>
      <c r="B15" s="100" t="s">
        <v>67</v>
      </c>
    </row>
    <row r="16" customFormat="false" ht="19" hidden="false" customHeight="false" outlineLevel="0" collapsed="false">
      <c r="A16" s="101" t="s">
        <v>68</v>
      </c>
      <c r="B16" s="100" t="s">
        <v>69</v>
      </c>
    </row>
    <row r="17" customFormat="false" ht="19" hidden="false" customHeight="false" outlineLevel="0" collapsed="false">
      <c r="A17" s="100" t="s">
        <v>70</v>
      </c>
      <c r="B17" s="100" t="s">
        <v>71</v>
      </c>
    </row>
    <row r="18" customFormat="false" ht="19" hidden="false" customHeight="false" outlineLevel="0" collapsed="false">
      <c r="A18" s="100" t="s">
        <v>72</v>
      </c>
      <c r="B18" s="100" t="s">
        <v>73</v>
      </c>
    </row>
    <row r="19" customFormat="false" ht="19" hidden="false" customHeight="false" outlineLevel="0" collapsed="false">
      <c r="A19" s="100" t="s">
        <v>74</v>
      </c>
      <c r="B19" s="100" t="s">
        <v>75</v>
      </c>
    </row>
    <row r="20" customFormat="false" ht="19" hidden="false" customHeight="false" outlineLevel="0" collapsed="false">
      <c r="A20" s="100" t="s">
        <v>76</v>
      </c>
      <c r="B20" s="100" t="s">
        <v>77</v>
      </c>
    </row>
    <row r="21" customFormat="false" ht="19" hidden="false" customHeight="false" outlineLevel="0" collapsed="false">
      <c r="A21" s="100" t="s">
        <v>78</v>
      </c>
      <c r="B21" s="100" t="s">
        <v>79</v>
      </c>
    </row>
    <row r="22" customFormat="false" ht="19" hidden="false" customHeight="false" outlineLevel="0" collapsed="false">
      <c r="A22" s="100" t="s">
        <v>80</v>
      </c>
      <c r="B22" s="100" t="s">
        <v>81</v>
      </c>
    </row>
    <row r="23" customFormat="false" ht="19" hidden="false" customHeight="false" outlineLevel="0" collapsed="false">
      <c r="A23" s="100" t="s">
        <v>82</v>
      </c>
      <c r="B23" s="100" t="s">
        <v>83</v>
      </c>
    </row>
    <row r="24" customFormat="false" ht="19" hidden="false" customHeight="false" outlineLevel="0" collapsed="false">
      <c r="A24" s="100" t="s">
        <v>84</v>
      </c>
      <c r="B24" s="100" t="s">
        <v>85</v>
      </c>
    </row>
    <row r="25" customFormat="false" ht="19" hidden="false" customHeight="false" outlineLevel="0" collapsed="false">
      <c r="A25" s="100" t="s">
        <v>86</v>
      </c>
      <c r="B25" s="100" t="s">
        <v>87</v>
      </c>
    </row>
    <row r="26" customFormat="false" ht="19" hidden="false" customHeight="false" outlineLevel="0" collapsed="false">
      <c r="A26" s="100" t="s">
        <v>88</v>
      </c>
      <c r="B26" s="100" t="s">
        <v>89</v>
      </c>
    </row>
  </sheetData>
  <mergeCells count="1">
    <mergeCell ref="B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description/>
  <dc:language>en-US</dc:language>
  <cp:lastModifiedBy>Pongburit Wongchaiyakul</cp:lastModifiedBy>
  <cp:lastPrinted>2026-05-20T08:03:01Z</cp:lastPrinted>
  <dcterms:modified xsi:type="dcterms:W3CDTF">2026-07-10T04:47:53Z</dcterms:modified>
  <cp:revision>4</cp:revision>
  <dc:subject/>
  <dc:title/>
</cp:coreProperties>
</file>